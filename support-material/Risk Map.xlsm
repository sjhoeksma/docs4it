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ierk/GitHub/docs4it/support-material/"/>
    </mc:Choice>
  </mc:AlternateContent>
  <xr:revisionPtr revIDLastSave="0" documentId="13_ncr:1_{8BC1A2AE-A9E4-0D4F-A138-514FF239005B}" xr6:coauthVersionLast="31" xr6:coauthVersionMax="31" xr10:uidLastSave="{00000000-0000-0000-0000-000000000000}"/>
  <bookViews>
    <workbookView xWindow="0" yWindow="460" windowWidth="26720" windowHeight="15420" xr2:uid="{00000000-000D-0000-FFFF-FFFF00000000}"/>
  </bookViews>
  <sheets>
    <sheet name="Risk Register Map" sheetId="5" r:id="rId1"/>
    <sheet name="Risk Register" sheetId="2" r:id="rId2"/>
    <sheet name="Setup" sheetId="3" r:id="rId3"/>
  </sheets>
  <functionGroups builtInGroupCount="19"/>
  <definedNames>
    <definedName name="lstImpact">tblImpact[Impact]</definedName>
    <definedName name="lstProbability">tblLikelihood[Likelihood]</definedName>
    <definedName name="lstProject">tblProject[Risk]</definedName>
  </definedNames>
  <calcPr calcId="179017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5" l="1"/>
  <c r="J18" i="2"/>
  <c r="K18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L18" i="2"/>
  <c r="J14" i="2"/>
  <c r="K14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L59" i="2"/>
  <c r="L58" i="2"/>
  <c r="L57" i="2"/>
  <c r="L5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J16" i="2"/>
  <c r="K16" i="2"/>
  <c r="J9" i="2"/>
  <c r="K9" i="2"/>
  <c r="K59" i="2"/>
  <c r="K58" i="2"/>
  <c r="K57" i="2"/>
  <c r="K56" i="2"/>
  <c r="J2" i="2"/>
  <c r="K2" i="2"/>
  <c r="J3" i="2"/>
  <c r="K3" i="2"/>
  <c r="J4" i="2"/>
  <c r="K4" i="2"/>
  <c r="J5" i="2"/>
  <c r="K5" i="2"/>
  <c r="J6" i="2"/>
  <c r="K6" i="2"/>
  <c r="J7" i="2"/>
  <c r="K7" i="2"/>
  <c r="J8" i="2"/>
  <c r="K8" i="2"/>
  <c r="J10" i="2"/>
  <c r="K10" i="2"/>
  <c r="J11" i="2"/>
  <c r="K11" i="2"/>
  <c r="J12" i="2"/>
  <c r="K12" i="2"/>
  <c r="J13" i="2"/>
  <c r="K13" i="2"/>
  <c r="J15" i="2"/>
  <c r="K15" i="2"/>
  <c r="J17" i="2"/>
  <c r="K17" i="2"/>
  <c r="J19" i="2"/>
  <c r="K19" i="2"/>
  <c r="J20" i="2"/>
  <c r="K20" i="2"/>
  <c r="J21" i="2"/>
  <c r="K21" i="2"/>
  <c r="J22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H3" i="5"/>
  <c r="H6" i="5"/>
  <c r="G6" i="5"/>
  <c r="F5" i="5"/>
  <c r="E3" i="5"/>
  <c r="G5" i="5"/>
  <c r="E6" i="5"/>
  <c r="F3" i="5"/>
  <c r="G3" i="5"/>
  <c r="G4" i="5"/>
  <c r="E5" i="5"/>
  <c r="F4" i="5"/>
  <c r="F6" i="5"/>
  <c r="E4" i="5"/>
  <c r="H5" i="5"/>
  <c r="H4" i="5"/>
</calcChain>
</file>

<file path=xl/sharedStrings.xml><?xml version="1.0" encoding="utf-8"?>
<sst xmlns="http://schemas.openxmlformats.org/spreadsheetml/2006/main" count="49" uniqueCount="43">
  <si>
    <t>Open</t>
  </si>
  <si>
    <t>Status</t>
  </si>
  <si>
    <t>ID</t>
  </si>
  <si>
    <t>Likelihood</t>
  </si>
  <si>
    <t>Impact</t>
  </si>
  <si>
    <t>A -</t>
  </si>
  <si>
    <t>Almost certain</t>
  </si>
  <si>
    <t xml:space="preserve">B - </t>
  </si>
  <si>
    <t>Likely</t>
  </si>
  <si>
    <t xml:space="preserve">C - </t>
  </si>
  <si>
    <t xml:space="preserve">D - </t>
  </si>
  <si>
    <t>A</t>
  </si>
  <si>
    <t>C</t>
  </si>
  <si>
    <t>D</t>
  </si>
  <si>
    <t>B</t>
  </si>
  <si>
    <t>1- Insignificant</t>
  </si>
  <si>
    <t>2 - Low</t>
  </si>
  <si>
    <t>3 - Medium</t>
  </si>
  <si>
    <t>4 - High</t>
  </si>
  <si>
    <t>Not Likely</t>
  </si>
  <si>
    <t>Certain</t>
  </si>
  <si>
    <t>Display Name</t>
  </si>
  <si>
    <t>Probability</t>
  </si>
  <si>
    <t>ProbabilityScore</t>
  </si>
  <si>
    <t>SearchString</t>
  </si>
  <si>
    <t>Description</t>
  </si>
  <si>
    <t>Resources</t>
  </si>
  <si>
    <t xml:space="preserve">Business Transfomation </t>
  </si>
  <si>
    <t>Text Length</t>
  </si>
  <si>
    <t>Counter Measure</t>
  </si>
  <si>
    <t>Owner</t>
  </si>
  <si>
    <t>Risk</t>
  </si>
  <si>
    <t>Story Area</t>
  </si>
  <si>
    <t>Contraints Area</t>
  </si>
  <si>
    <t>Model Area</t>
  </si>
  <si>
    <t>Others</t>
  </si>
  <si>
    <t>Security</t>
  </si>
  <si>
    <t>Area</t>
  </si>
  <si>
    <t>Technical</t>
  </si>
  <si>
    <t>Sierk</t>
  </si>
  <si>
    <t>Dummy Risk</t>
  </si>
  <si>
    <t>Title</t>
  </si>
  <si>
    <t>My Risk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</si>
</sst>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6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51">
    <xf numFmtId="0" fontId="0" fillId="0" borderId="0" xfId="0"/>
    <xf numFmtId="0" fontId="7" fillId="7" borderId="1" xfId="4" applyFont="1" applyFill="1" applyBorder="1" applyAlignment="1">
      <alignment horizontal="center" vertical="center" wrapText="1"/>
    </xf>
    <xf numFmtId="0" fontId="7" fillId="8" borderId="2" xfId="4" applyFont="1" applyFill="1" applyBorder="1" applyAlignment="1">
      <alignment horizontal="left" vertical="center" wrapText="1"/>
    </xf>
    <xf numFmtId="0" fontId="7" fillId="7" borderId="4" xfId="4" applyFont="1" applyFill="1" applyBorder="1" applyAlignment="1">
      <alignment horizontal="center" vertical="center" wrapText="1"/>
    </xf>
    <xf numFmtId="0" fontId="7" fillId="8" borderId="3" xfId="4" applyFont="1" applyFill="1" applyBorder="1" applyAlignment="1">
      <alignment horizontal="left" vertical="center" wrapText="1"/>
    </xf>
    <xf numFmtId="0" fontId="9" fillId="5" borderId="0" xfId="0" applyFont="1" applyFill="1"/>
    <xf numFmtId="0" fontId="1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/>
    </xf>
    <xf numFmtId="0" fontId="7" fillId="7" borderId="9" xfId="4" applyFont="1" applyFill="1" applyBorder="1" applyAlignment="1">
      <alignment horizontal="center" vertical="center" wrapText="1"/>
    </xf>
    <xf numFmtId="0" fontId="7" fillId="8" borderId="10" xfId="4" applyFont="1" applyFill="1" applyBorder="1" applyAlignment="1">
      <alignment horizontal="left" vertical="center" wrapText="1"/>
    </xf>
    <xf numFmtId="0" fontId="7" fillId="7" borderId="15" xfId="4" applyFont="1" applyFill="1" applyBorder="1" applyAlignment="1">
      <alignment horizontal="center" vertical="center" wrapText="1"/>
    </xf>
    <xf numFmtId="0" fontId="7" fillId="8" borderId="16" xfId="4" applyFont="1" applyFill="1" applyBorder="1" applyAlignment="1">
      <alignment horizontal="left" vertical="center" wrapText="1"/>
    </xf>
    <xf numFmtId="0" fontId="7" fillId="7" borderId="18" xfId="4" applyFont="1" applyFill="1" applyBorder="1" applyAlignment="1">
      <alignment horizontal="center" vertical="center" wrapText="1"/>
    </xf>
    <xf numFmtId="0" fontId="7" fillId="7" borderId="19" xfId="4" applyFont="1" applyFill="1" applyBorder="1" applyAlignment="1">
      <alignment horizontal="center" vertical="center" wrapText="1"/>
    </xf>
    <xf numFmtId="0" fontId="7" fillId="7" borderId="20" xfId="4" applyFont="1" applyFill="1" applyBorder="1" applyAlignment="1">
      <alignment horizontal="center" vertical="center" wrapText="1"/>
    </xf>
    <xf numFmtId="0" fontId="10" fillId="9" borderId="2" xfId="3" applyFont="1" applyFill="1" applyBorder="1" applyAlignment="1">
      <alignment horizontal="left" vertical="top" wrapText="1"/>
    </xf>
    <xf numFmtId="0" fontId="10" fillId="9" borderId="16" xfId="3" applyFont="1" applyFill="1" applyBorder="1" applyAlignment="1">
      <alignment horizontal="left" vertical="top" wrapText="1"/>
    </xf>
    <xf numFmtId="0" fontId="10" fillId="9" borderId="17" xfId="3" applyFont="1" applyFill="1" applyBorder="1" applyAlignment="1">
      <alignment horizontal="left" vertical="top" wrapText="1"/>
    </xf>
    <xf numFmtId="0" fontId="10" fillId="10" borderId="2" xfId="1" applyFont="1" applyFill="1" applyBorder="1" applyAlignment="1">
      <alignment horizontal="left" vertical="top" wrapText="1"/>
    </xf>
    <xf numFmtId="0" fontId="10" fillId="10" borderId="16" xfId="1" applyFont="1" applyFill="1" applyBorder="1" applyAlignment="1">
      <alignment horizontal="left" vertical="top" wrapText="1"/>
    </xf>
    <xf numFmtId="0" fontId="13" fillId="9" borderId="10" xfId="2" applyFont="1" applyFill="1" applyBorder="1" applyAlignment="1">
      <alignment horizontal="left" vertical="top" wrapText="1"/>
    </xf>
    <xf numFmtId="0" fontId="0" fillId="0" borderId="0" xfId="0" applyFont="1"/>
    <xf numFmtId="0" fontId="6" fillId="0" borderId="0" xfId="0" applyFont="1"/>
    <xf numFmtId="0" fontId="0" fillId="0" borderId="0" xfId="0" applyBorder="1"/>
    <xf numFmtId="0" fontId="0" fillId="0" borderId="0" xfId="0" applyFont="1" applyBorder="1"/>
    <xf numFmtId="0" fontId="13" fillId="11" borderId="10" xfId="2" applyFont="1" applyFill="1" applyBorder="1" applyAlignment="1">
      <alignment horizontal="left" vertical="top" wrapText="1"/>
    </xf>
    <xf numFmtId="0" fontId="13" fillId="11" borderId="2" xfId="2" applyFont="1" applyFill="1" applyBorder="1" applyAlignment="1">
      <alignment horizontal="left" vertical="top" wrapText="1"/>
    </xf>
    <xf numFmtId="0" fontId="13" fillId="11" borderId="11" xfId="2" applyFont="1" applyFill="1" applyBorder="1" applyAlignment="1">
      <alignment horizontal="left" vertical="top" wrapText="1"/>
    </xf>
    <xf numFmtId="0" fontId="13" fillId="11" borderId="13" xfId="2" applyFont="1" applyFill="1" applyBorder="1" applyAlignment="1">
      <alignment horizontal="left" vertical="top" wrapText="1"/>
    </xf>
    <xf numFmtId="0" fontId="8" fillId="6" borderId="14" xfId="0" applyFont="1" applyFill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8" xfId="4" applyFont="1" applyFill="1" applyBorder="1" applyAlignment="1">
      <alignment horizontal="center" vertical="center" textRotation="90" wrapText="1"/>
    </xf>
    <xf numFmtId="0" fontId="8" fillId="6" borderId="12" xfId="4" applyFont="1" applyFill="1" applyBorder="1" applyAlignment="1">
      <alignment horizontal="center" vertical="center" textRotation="90" wrapText="1"/>
    </xf>
    <xf numFmtId="0" fontId="8" fillId="6" borderId="14" xfId="4" applyFont="1" applyFill="1" applyBorder="1" applyAlignment="1">
      <alignment horizontal="center" vertical="center" textRotation="90" wrapText="1"/>
    </xf>
    <xf numFmtId="0" fontId="12" fillId="5" borderId="5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0" fillId="5" borderId="0" xfId="0" applyFont="1" applyFill="1" applyBorder="1" applyAlignment="1" applyProtection="1">
      <alignment horizontal="center" vertical="top"/>
      <protection hidden="1"/>
    </xf>
    <xf numFmtId="0" fontId="0" fillId="5" borderId="0" xfId="0" applyFont="1" applyFill="1" applyAlignment="1" applyProtection="1">
      <alignment horizontal="center" vertical="top"/>
      <protection hidden="1"/>
    </xf>
    <xf numFmtId="0" fontId="5" fillId="0" borderId="0" xfId="0" applyFont="1" applyProtection="1">
      <protection hidden="1"/>
    </xf>
    <xf numFmtId="0" fontId="5" fillId="0" borderId="0" xfId="0" applyNumberFormat="1" applyFont="1" applyBorder="1" applyProtection="1">
      <protection hidden="1"/>
    </xf>
    <xf numFmtId="0" fontId="0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0" fillId="0" borderId="0" xfId="0" applyNumberFormat="1" applyFont="1" applyAlignment="1" applyProtection="1">
      <alignment horizontal="left" wrapText="1"/>
      <protection locked="0"/>
    </xf>
    <xf numFmtId="0" fontId="0" fillId="0" borderId="0" xfId="0" applyNumberFormat="1" applyFont="1" applyAlignment="1" applyProtection="1">
      <alignment wrapText="1"/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0" fontId="16" fillId="0" borderId="0" xfId="0" applyFont="1" applyProtection="1">
      <protection locked="0"/>
    </xf>
    <xf numFmtId="0" fontId="17" fillId="12" borderId="0" xfId="0" applyFont="1" applyFill="1"/>
  </cellXfs>
  <cellStyles count="65"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oed" xfId="1" builtinId="26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Neutraal" xfId="3" builtinId="28"/>
    <cellStyle name="Normal_SummaryRiskAssessmentRegister" xfId="4" xr:uid="{00000000-0005-0000-0000-00003E000000}"/>
    <cellStyle name="Ongeldig" xfId="2" builtinId="27"/>
    <cellStyle name="Stand." xfId="0" builtinId="0"/>
  </cellStyles>
  <dxfs count="26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C9DCFB"/>
        </patternFill>
      </fill>
    </dxf>
    <dxf>
      <font>
        <b/>
        <i val="0"/>
        <color theme="0"/>
      </font>
      <fill>
        <patternFill>
          <bgColor rgb="FF004A91"/>
        </patternFill>
      </fill>
    </dxf>
  </dxfs>
  <tableStyles count="1" defaultTableStyle="TableStyleMedium2" defaultPivotStyle="PivotStyleLight16">
    <tableStyle name="Table Style 1" pivot="0" count="2" xr9:uid="{00000000-0011-0000-FFFF-FFFF00000000}">
      <tableStyleElement type="headerRow" dxfId="25"/>
      <tableStyleElement type="firstRowStripe" dxfId="24"/>
    </tableStyle>
  </tableStyles>
  <colors>
    <mruColors>
      <color rgb="FFC9DCFB"/>
      <color rgb="FF004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iskData" displayName="tblRiskData" ref="A1:L59" insertRowShift="1" totalsRowShown="0" headerRowDxfId="23" dataDxfId="22">
  <tableColumns count="12">
    <tableColumn id="1" xr3:uid="{00000000-0010-0000-0000-000001000000}" name="ID" dataDxfId="21"/>
    <tableColumn id="3" xr3:uid="{00000000-0010-0000-0000-000003000000}" name="Risk" dataDxfId="15"/>
    <tableColumn id="8" xr3:uid="{00000000-0010-0000-0000-000008000000}" name="Area" dataDxfId="14"/>
    <tableColumn id="7" xr3:uid="{00000000-0010-0000-0000-000007000000}" name="Owner" dataDxfId="13"/>
    <tableColumn id="5" xr3:uid="{00000000-0010-0000-0000-000005000000}" name="Probability" dataDxfId="12"/>
    <tableColumn id="6" xr3:uid="{00000000-0010-0000-0000-000006000000}" name="Impact" dataDxfId="11"/>
    <tableColumn id="10" xr3:uid="{00000000-0010-0000-0000-00000A000000}" name="Status" dataDxfId="10"/>
    <tableColumn id="12" xr3:uid="{1432850E-88A7-8E46-ABBE-4144E086F7B8}" name="Description" dataDxfId="9"/>
    <tableColumn id="9" xr3:uid="{AE6B46F0-1D4C-534E-9260-0AE0793D182C}" name="Counter Measure" dataDxfId="8"/>
    <tableColumn id="15" xr3:uid="{00000000-0010-0000-0000-00000F000000}" name="ProbabilityScore" dataDxfId="18">
      <calculatedColumnFormula>IFERROR(CHOOSE(MATCH(tblRiskData[[#This Row],[Probability]],lstProbability,0),4,3,2,1),"")</calculatedColumnFormula>
    </tableColumn>
    <tableColumn id="16" xr3:uid="{00000000-0010-0000-0000-000010000000}" name="SearchString" dataDxfId="17">
      <calculatedColumnFormula>IF(tblRiskData[[#This Row],[Status]]="Open",CONCATENATE("x",tblRiskData[[#This Row],[ProbabilityScore]]^4+tblRiskData[[#This Row],[Impact]]),"")</calculatedColumnFormula>
    </tableColumn>
    <tableColumn id="17" xr3:uid="{00000000-0010-0000-0000-000011000000}" name="Display Name" dataDxfId="16">
      <calculatedColumnFormula>CONCATENATE(tblRiskData[[#This Row],[ID]]," ",LEFT(tblRiskData[[#This Row],[Risk]],Setup!$G$4),IF(LEN(tblRiskData[[#This Row],[Risk]])&gt;Setup!$G$4,"…",""))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ject" displayName="tblProject" ref="A3:A11" totalsRowShown="0">
  <autoFilter ref="A3:A11" xr:uid="{00000000-0009-0000-0100-000002000000}"/>
  <tableColumns count="1">
    <tableColumn id="1" xr3:uid="{00000000-0010-0000-0100-000001000000}" name="Ris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Likelihood" displayName="tblLikelihood" ref="C3:C7" totalsRowShown="0" headerRowDxfId="20">
  <autoFilter ref="C3:C7" xr:uid="{00000000-0009-0000-0100-000003000000}"/>
  <tableColumns count="1">
    <tableColumn id="1" xr3:uid="{00000000-0010-0000-0200-000001000000}" name="Likelihoo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Impact" displayName="tblImpact" ref="E3:E7" totalsRowShown="0" headerRowDxfId="19">
  <autoFilter ref="E3:E7" xr:uid="{00000000-0009-0000-0100-000004000000}"/>
  <tableColumns count="1">
    <tableColumn id="1" xr3:uid="{00000000-0010-0000-0300-000001000000}" name="Impa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B1:H12"/>
  <sheetViews>
    <sheetView tabSelected="1" showWhiteSpace="0" zoomScale="111" zoomScaleNormal="142" zoomScalePageLayoutView="142" workbookViewId="0">
      <selection activeCell="B3" sqref="B3:B6"/>
    </sheetView>
  </sheetViews>
  <sheetFormatPr baseColWidth="10" defaultColWidth="8.83203125" defaultRowHeight="14" x14ac:dyDescent="0.2"/>
  <cols>
    <col min="1" max="1" width="4.1640625" style="5" customWidth="1"/>
    <col min="2" max="2" width="5.5" style="5" customWidth="1"/>
    <col min="3" max="3" width="5.6640625" style="5" customWidth="1"/>
    <col min="4" max="4" width="12.6640625" style="5" customWidth="1"/>
    <col min="5" max="8" width="30.6640625" style="5" customWidth="1"/>
    <col min="9" max="16384" width="8.83203125" style="5"/>
  </cols>
  <sheetData>
    <row r="1" spans="2:8" ht="15" thickBot="1" x14ac:dyDescent="0.25"/>
    <row r="2" spans="2:8" ht="23.75" customHeight="1" thickBot="1" x14ac:dyDescent="0.25">
      <c r="B2" s="35" t="str">
        <f>CONCATENATE("Risk Map - ",Setup!C1)</f>
        <v>Risk Map - My Risk Map</v>
      </c>
      <c r="C2" s="36"/>
      <c r="D2" s="36"/>
      <c r="E2" s="36"/>
      <c r="F2" s="36"/>
      <c r="G2" s="36"/>
      <c r="H2" s="37"/>
    </row>
    <row r="3" spans="2:8" ht="80" customHeight="1" x14ac:dyDescent="0.2">
      <c r="B3" s="32" t="s">
        <v>3</v>
      </c>
      <c r="C3" s="8" t="s">
        <v>5</v>
      </c>
      <c r="D3" s="9" t="s">
        <v>20</v>
      </c>
      <c r="E3" s="20" t="str">
        <f>showriskmap(tblRiskData[[#All],[SearchString]],"x257",tblRiskData[[#All],[Display Name]],CHAR(13))</f>
        <v/>
      </c>
      <c r="F3" s="25" t="str">
        <f>showriskmap(tblRiskData[[#All],[SearchString]],"x258",tblRiskData[[#All],[Display Name]],CHAR(13))</f>
        <v/>
      </c>
      <c r="G3" s="25" t="str">
        <f>showriskmap(tblRiskData[[#All],[SearchString]],"x259",tblRiskData[[#All],[Display Name]],CHAR(10))</f>
        <v/>
      </c>
      <c r="H3" s="27" t="str">
        <f>showriskmap(tblRiskData[[#All],[SearchString]],"x260",tblRiskData[[#All],[Display Name]],CHAR(13))</f>
        <v/>
      </c>
    </row>
    <row r="4" spans="2:8" ht="80" customHeight="1" x14ac:dyDescent="0.2">
      <c r="B4" s="33"/>
      <c r="C4" s="3" t="s">
        <v>7</v>
      </c>
      <c r="D4" s="4" t="s">
        <v>6</v>
      </c>
      <c r="E4" s="15" t="str">
        <f>showriskmap(tblRiskData[[#All],[SearchString]],"x82",tblRiskData[[#All],[Display Name]],CHAR(13))</f>
        <v/>
      </c>
      <c r="F4" s="15" t="str">
        <f>showriskmap(tblRiskData[[#All],[SearchString]],"x83",tblRiskData[[#All],[Display Name]],CHAR(13))</f>
        <v/>
      </c>
      <c r="G4" s="26" t="str">
        <f>showriskmap(tblRiskData[[#All],[SearchString]],"x84",tblRiskData[[#All],[Display Name]],CHAR(13))</f>
        <v/>
      </c>
      <c r="H4" s="28" t="str">
        <f>showriskmap(tblRiskData[[#All],[SearchString]],"x85",tblRiskData[[#All],[Display Name]],CHAR(13))</f>
        <v/>
      </c>
    </row>
    <row r="5" spans="2:8" ht="80" customHeight="1" x14ac:dyDescent="0.2">
      <c r="B5" s="33"/>
      <c r="C5" s="1" t="s">
        <v>9</v>
      </c>
      <c r="D5" s="2" t="s">
        <v>8</v>
      </c>
      <c r="E5" s="18" t="str">
        <f>showriskmap(tblRiskData[[#All],[SearchString]],"x17",tblRiskData[[#All],[Display Name]],CHAR(13))</f>
        <v/>
      </c>
      <c r="F5" s="15" t="str">
        <f>showriskmap(tblRiskData[[#All],[SearchString]],"x18",tblRiskData[[#All],[Display Name]],CHAR(13))</f>
        <v/>
      </c>
      <c r="G5" s="15" t="str">
        <f>showriskmap(tblRiskData[[#All],[SearchString]],"x19",tblRiskData[[#All],[Display Name]],CHAR(13))</f>
        <v>1 Dummy Risk_x000D_</v>
      </c>
      <c r="H5" s="28" t="str">
        <f>showriskmap(tblRiskData[[#All],[SearchString]],"x20",tblRiskData[[#All],[Display Name]],CHAR(13))</f>
        <v/>
      </c>
    </row>
    <row r="6" spans="2:8" ht="80" customHeight="1" thickBot="1" x14ac:dyDescent="0.25">
      <c r="B6" s="34"/>
      <c r="C6" s="10" t="s">
        <v>10</v>
      </c>
      <c r="D6" s="11" t="s">
        <v>19</v>
      </c>
      <c r="E6" s="19" t="str">
        <f>showriskmap(tblRiskData[[#All],[SearchString]],"x2",tblRiskData[[#All],[Display Name]],CHAR(13))</f>
        <v/>
      </c>
      <c r="F6" s="19" t="str">
        <f>showriskmap(tblRiskData[[#All],[SearchString]],"x3",tblRiskData[[#All],[Display Name]],CHAR(13))</f>
        <v/>
      </c>
      <c r="G6" s="16" t="str">
        <f>showriskmap(tblRiskData[[#All],[SearchString]],"x4",tblRiskData[[#All],[Display Name]],CHAR(13))</f>
        <v/>
      </c>
      <c r="H6" s="17" t="str">
        <f>showriskmap(tblRiskData[[#All],[SearchString]],"x5",tblRiskData[[#All],[Display Name]],CHAR(13))</f>
        <v/>
      </c>
    </row>
    <row r="7" spans="2:8" ht="20" customHeight="1" x14ac:dyDescent="0.2">
      <c r="B7" s="7"/>
      <c r="C7" s="7"/>
      <c r="D7" s="7"/>
      <c r="E7" s="12" t="s">
        <v>15</v>
      </c>
      <c r="F7" s="13" t="s">
        <v>16</v>
      </c>
      <c r="G7" s="13" t="s">
        <v>17</v>
      </c>
      <c r="H7" s="14" t="s">
        <v>18</v>
      </c>
    </row>
    <row r="8" spans="2:8" ht="20" customHeight="1" thickBot="1" x14ac:dyDescent="0.25">
      <c r="E8" s="29" t="s">
        <v>4</v>
      </c>
      <c r="F8" s="30"/>
      <c r="G8" s="30"/>
      <c r="H8" s="31"/>
    </row>
    <row r="9" spans="2:8" x14ac:dyDescent="0.2">
      <c r="E9" s="6"/>
      <c r="F9" s="6"/>
      <c r="G9" s="6"/>
      <c r="H9" s="6"/>
    </row>
    <row r="10" spans="2:8" x14ac:dyDescent="0.2">
      <c r="E10" s="6"/>
      <c r="F10" s="6"/>
      <c r="G10" s="6"/>
      <c r="H10" s="6"/>
    </row>
    <row r="11" spans="2:8" x14ac:dyDescent="0.2">
      <c r="E11" s="6"/>
      <c r="F11" s="6"/>
      <c r="G11" s="6"/>
      <c r="H11" s="6"/>
    </row>
    <row r="12" spans="2:8" x14ac:dyDescent="0.2">
      <c r="E12" s="6"/>
      <c r="F12" s="6"/>
      <c r="G12" s="6"/>
      <c r="H12" s="6"/>
    </row>
  </sheetData>
  <sheetProtection sheet="1" objects="1" scenarios="1" selectLockedCells="1" selectUnlockedCells="1"/>
  <mergeCells count="3">
    <mergeCell ref="E8:H8"/>
    <mergeCell ref="B3:B6"/>
    <mergeCell ref="B2:H2"/>
  </mergeCells>
  <pageMargins left="0.7" right="0.7" top="0.75" bottom="0.75" header="0.3" footer="0.3"/>
  <pageSetup paperSize="9" scale="84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9"/>
  <sheetViews>
    <sheetView zoomScale="82" zoomScaleNormal="82" workbookViewId="0">
      <selection activeCell="B3" sqref="B3"/>
    </sheetView>
  </sheetViews>
  <sheetFormatPr baseColWidth="10" defaultColWidth="8.83203125" defaultRowHeight="15" x14ac:dyDescent="0.2"/>
  <cols>
    <col min="1" max="1" width="5.6640625" style="21" customWidth="1"/>
    <col min="2" max="2" width="37.6640625" style="43" customWidth="1"/>
    <col min="3" max="3" width="19.33203125" style="43" customWidth="1"/>
    <col min="4" max="4" width="15.1640625" style="43" customWidth="1"/>
    <col min="5" max="5" width="11.6640625" style="43" customWidth="1"/>
    <col min="6" max="6" width="8.6640625" style="43" customWidth="1"/>
    <col min="7" max="7" width="9.33203125" style="43" customWidth="1"/>
    <col min="8" max="8" width="84.1640625" style="43" customWidth="1"/>
    <col min="9" max="9" width="63.83203125" style="43" customWidth="1"/>
    <col min="10" max="10" width="14.6640625" style="42" customWidth="1"/>
    <col min="11" max="11" width="27.5" style="42" customWidth="1"/>
    <col min="12" max="12" width="19.83203125" style="42" customWidth="1"/>
    <col min="13" max="16384" width="8.83203125" style="21"/>
  </cols>
  <sheetData>
    <row r="1" spans="1:12" x14ac:dyDescent="0.2">
      <c r="A1" s="21" t="s">
        <v>2</v>
      </c>
      <c r="B1" s="43" t="s">
        <v>31</v>
      </c>
      <c r="C1" s="43" t="s">
        <v>37</v>
      </c>
      <c r="D1" s="43" t="s">
        <v>30</v>
      </c>
      <c r="E1" s="43" t="s">
        <v>22</v>
      </c>
      <c r="F1" s="43" t="s">
        <v>4</v>
      </c>
      <c r="G1" s="43" t="s">
        <v>1</v>
      </c>
      <c r="H1" s="44" t="s">
        <v>25</v>
      </c>
      <c r="I1" s="43" t="s">
        <v>29</v>
      </c>
      <c r="J1" s="38" t="s">
        <v>23</v>
      </c>
      <c r="K1" s="39" t="s">
        <v>24</v>
      </c>
      <c r="L1" s="39" t="s">
        <v>21</v>
      </c>
    </row>
    <row r="2" spans="1:12" x14ac:dyDescent="0.2">
      <c r="A2" s="21">
        <v>1</v>
      </c>
      <c r="B2" s="43" t="s">
        <v>40</v>
      </c>
      <c r="C2" s="43" t="s">
        <v>33</v>
      </c>
      <c r="D2" s="43" t="s">
        <v>39</v>
      </c>
      <c r="E2" s="43" t="s">
        <v>12</v>
      </c>
      <c r="F2" s="43">
        <v>3</v>
      </c>
      <c r="G2" s="43" t="s">
        <v>0</v>
      </c>
      <c r="H2" s="45"/>
      <c r="I2" s="46"/>
      <c r="J2" s="40">
        <f>IFERROR(CHOOSE(MATCH(tblRiskData[[#This Row],[Probability]],lstProbability,0),4,3,2,1),"")</f>
        <v>2</v>
      </c>
      <c r="K2" s="40" t="str">
        <f>IF(tblRiskData[[#This Row],[Status]]="Open",CONCATENATE("x",tblRiskData[[#This Row],[ProbabilityScore]]^4+tblRiskData[[#This Row],[Impact]]),"")</f>
        <v>x19</v>
      </c>
      <c r="L2" s="40" t="str">
        <f>CONCATENATE(tblRiskData[[#This Row],[ID]]," ",LEFT(tblRiskData[[#This Row],[Risk]],Setup!$G$4),IF(LEN(tblRiskData[[#This Row],[Risk]])&gt;Setup!$G$4,"…",""))</f>
        <v>1 Dummy Risk</v>
      </c>
    </row>
    <row r="3" spans="1:12" x14ac:dyDescent="0.2">
      <c r="A3" s="24">
        <f>A2+1</f>
        <v>2</v>
      </c>
      <c r="B3" s="47"/>
      <c r="C3" s="47"/>
      <c r="D3" s="47"/>
      <c r="E3" s="47"/>
      <c r="F3" s="47"/>
      <c r="G3" s="47"/>
      <c r="H3" s="48"/>
      <c r="I3" s="46"/>
      <c r="J3" s="41" t="str">
        <f>IFERROR(CHOOSE(MATCH(tblRiskData[[#This Row],[Probability]],lstProbability,0),4,3,2,1),"")</f>
        <v/>
      </c>
      <c r="K3" s="41" t="str">
        <f>IF(tblRiskData[[#This Row],[Status]]="Open",CONCATENATE("x",tblRiskData[[#This Row],[ProbabilityScore]]^4+tblRiskData[[#This Row],[Impact]]),"")</f>
        <v/>
      </c>
      <c r="L3" s="40" t="str">
        <f>CONCATENATE(tblRiskData[[#This Row],[ID]]," ",LEFT(tblRiskData[[#This Row],[Risk]],Setup!$G$4),IF(LEN(tblRiskData[[#This Row],[Risk]])&gt;Setup!$G$4,"…",""))</f>
        <v xml:space="preserve">2 </v>
      </c>
    </row>
    <row r="4" spans="1:12" x14ac:dyDescent="0.2">
      <c r="A4" s="24">
        <f>A3+1</f>
        <v>3</v>
      </c>
      <c r="B4" s="47"/>
      <c r="C4" s="47"/>
      <c r="D4" s="47"/>
      <c r="E4" s="47"/>
      <c r="F4" s="47"/>
      <c r="G4" s="47"/>
      <c r="H4" s="48"/>
      <c r="I4" s="46"/>
      <c r="J4" s="41" t="str">
        <f>IFERROR(CHOOSE(MATCH(tblRiskData[[#This Row],[Probability]],lstProbability,0),4,3,2,1),"")</f>
        <v/>
      </c>
      <c r="K4" s="41" t="str">
        <f>IF(tblRiskData[[#This Row],[Status]]="Open",CONCATENATE("x",tblRiskData[[#This Row],[ProbabilityScore]]^4+tblRiskData[[#This Row],[Impact]]),"")</f>
        <v/>
      </c>
      <c r="L4" s="40" t="str">
        <f>CONCATENATE(tblRiskData[[#This Row],[ID]]," ",LEFT(tblRiskData[[#This Row],[Risk]],Setup!$G$4),IF(LEN(tblRiskData[[#This Row],[Risk]])&gt;Setup!$G$4,"…",""))</f>
        <v xml:space="preserve">3 </v>
      </c>
    </row>
    <row r="5" spans="1:12" x14ac:dyDescent="0.2">
      <c r="A5" s="24">
        <f t="shared" ref="A5:A59" si="0">A4+1</f>
        <v>4</v>
      </c>
      <c r="B5" s="47"/>
      <c r="C5" s="47"/>
      <c r="D5" s="47"/>
      <c r="E5" s="47"/>
      <c r="F5" s="47"/>
      <c r="G5" s="47"/>
      <c r="H5" s="48"/>
      <c r="I5" s="46"/>
      <c r="J5" s="41" t="str">
        <f>IFERROR(CHOOSE(MATCH(tblRiskData[[#This Row],[Probability]],lstProbability,0),4,3,2,1),"")</f>
        <v/>
      </c>
      <c r="K5" s="41" t="str">
        <f>IF(tblRiskData[[#This Row],[Status]]="Open",CONCATENATE("x",tblRiskData[[#This Row],[ProbabilityScore]]^4+tblRiskData[[#This Row],[Impact]]),"")</f>
        <v/>
      </c>
      <c r="L5" s="40" t="str">
        <f>CONCATENATE(tblRiskData[[#This Row],[ID]]," ",LEFT(tblRiskData[[#This Row],[Risk]],Setup!$G$4),IF(LEN(tblRiskData[[#This Row],[Risk]])&gt;Setup!$G$4,"…",""))</f>
        <v xml:space="preserve">4 </v>
      </c>
    </row>
    <row r="6" spans="1:12" x14ac:dyDescent="0.2">
      <c r="A6" s="24">
        <f t="shared" si="0"/>
        <v>5</v>
      </c>
      <c r="B6" s="49"/>
      <c r="C6" s="47"/>
      <c r="D6" s="47"/>
      <c r="E6" s="47"/>
      <c r="F6" s="47"/>
      <c r="G6" s="47"/>
      <c r="H6" s="48"/>
      <c r="I6" s="46"/>
      <c r="J6" s="41" t="str">
        <f>IFERROR(CHOOSE(MATCH(tblRiskData[[#This Row],[Probability]],lstProbability,0),4,3,2,1),"")</f>
        <v/>
      </c>
      <c r="K6" s="41" t="str">
        <f>IF(tblRiskData[[#This Row],[Status]]="Open",CONCATENATE("x",tblRiskData[[#This Row],[ProbabilityScore]]^4+tblRiskData[[#This Row],[Impact]]),"")</f>
        <v/>
      </c>
      <c r="L6" s="40" t="str">
        <f>CONCATENATE(tblRiskData[[#This Row],[ID]]," ",LEFT(tblRiskData[[#This Row],[Risk]],Setup!$G$4),IF(LEN(tblRiskData[[#This Row],[Risk]])&gt;Setup!$G$4,"…",""))</f>
        <v xml:space="preserve">5 </v>
      </c>
    </row>
    <row r="7" spans="1:12" x14ac:dyDescent="0.2">
      <c r="A7" s="24">
        <f t="shared" si="0"/>
        <v>6</v>
      </c>
      <c r="B7" s="47"/>
      <c r="C7" s="47"/>
      <c r="D7" s="47"/>
      <c r="E7" s="47"/>
      <c r="F7" s="47"/>
      <c r="G7" s="47"/>
      <c r="H7" s="48"/>
      <c r="I7" s="46"/>
      <c r="J7" s="41" t="str">
        <f>IFERROR(CHOOSE(MATCH(tblRiskData[[#This Row],[Probability]],lstProbability,0),4,3,2,1),"")</f>
        <v/>
      </c>
      <c r="K7" s="41" t="str">
        <f>IF(tblRiskData[[#This Row],[Status]]="Open",CONCATENATE("x",tblRiskData[[#This Row],[ProbabilityScore]]^4+tblRiskData[[#This Row],[Impact]]),"")</f>
        <v/>
      </c>
      <c r="L7" s="40" t="str">
        <f>CONCATENATE(tblRiskData[[#This Row],[ID]]," ",LEFT(tblRiskData[[#This Row],[Risk]],Setup!$G$4),IF(LEN(tblRiskData[[#This Row],[Risk]])&gt;Setup!$G$4,"…",""))</f>
        <v xml:space="preserve">6 </v>
      </c>
    </row>
    <row r="8" spans="1:12" x14ac:dyDescent="0.2">
      <c r="A8" s="24">
        <f t="shared" si="0"/>
        <v>7</v>
      </c>
      <c r="B8" s="47"/>
      <c r="C8" s="47"/>
      <c r="D8" s="47"/>
      <c r="E8" s="47"/>
      <c r="F8" s="47"/>
      <c r="G8" s="47"/>
      <c r="H8" s="48"/>
      <c r="I8" s="46"/>
      <c r="J8" s="41" t="str">
        <f>IFERROR(CHOOSE(MATCH(tblRiskData[[#This Row],[Probability]],lstProbability,0),4,3,2,1),"")</f>
        <v/>
      </c>
      <c r="K8" s="41" t="str">
        <f>IF(tblRiskData[[#This Row],[Status]]="Open",CONCATENATE("x",tblRiskData[[#This Row],[ProbabilityScore]]^4+tblRiskData[[#This Row],[Impact]]),"")</f>
        <v/>
      </c>
      <c r="L8" s="40" t="str">
        <f>CONCATENATE(tblRiskData[[#This Row],[ID]]," ",LEFT(tblRiskData[[#This Row],[Risk]],Setup!$G$4),IF(LEN(tblRiskData[[#This Row],[Risk]])&gt;Setup!$G$4,"…",""))</f>
        <v xml:space="preserve">7 </v>
      </c>
    </row>
    <row r="9" spans="1:12" x14ac:dyDescent="0.2">
      <c r="A9" s="24">
        <f t="shared" si="0"/>
        <v>8</v>
      </c>
      <c r="B9" s="47"/>
      <c r="C9" s="47"/>
      <c r="D9" s="47"/>
      <c r="E9" s="47"/>
      <c r="F9" s="47"/>
      <c r="G9" s="47"/>
      <c r="H9" s="48"/>
      <c r="I9" s="46"/>
      <c r="J9" s="41" t="str">
        <f>IFERROR(CHOOSE(MATCH(tblRiskData[[#This Row],[Probability]],lstProbability,0),4,3,2,1),"")</f>
        <v/>
      </c>
      <c r="K9" s="41" t="str">
        <f>IF(tblRiskData[[#This Row],[Status]]="Open",CONCATENATE("x",tblRiskData[[#This Row],[ProbabilityScore]]^4+tblRiskData[[#This Row],[Impact]]),"")</f>
        <v/>
      </c>
      <c r="L9" s="40" t="str">
        <f>CONCATENATE(tblRiskData[[#This Row],[ID]]," ",LEFT(tblRiskData[[#This Row],[Risk]],Setup!$G$4),IF(LEN(tblRiskData[[#This Row],[Risk]])&gt;Setup!$G$4,"…",""))</f>
        <v xml:space="preserve">8 </v>
      </c>
    </row>
    <row r="10" spans="1:12" x14ac:dyDescent="0.2">
      <c r="A10" s="24">
        <f t="shared" si="0"/>
        <v>9</v>
      </c>
      <c r="B10" s="47"/>
      <c r="C10" s="47"/>
      <c r="D10" s="47"/>
      <c r="E10" s="47"/>
      <c r="G10" s="47"/>
      <c r="H10" s="48"/>
      <c r="I10" s="46"/>
      <c r="J10" s="41" t="str">
        <f>IFERROR(CHOOSE(MATCH(tblRiskData[[#This Row],[Probability]],lstProbability,0),4,3,2,1),"")</f>
        <v/>
      </c>
      <c r="K10" s="41" t="str">
        <f>IF(tblRiskData[[#This Row],[Status]]="Open",CONCATENATE("x",tblRiskData[[#This Row],[ProbabilityScore]]^4+tblRiskData[[#This Row],[Impact]]),"")</f>
        <v/>
      </c>
      <c r="L10" s="40" t="str">
        <f>CONCATENATE(tblRiskData[[#This Row],[ID]]," ",LEFT(tblRiskData[[#This Row],[Risk]],Setup!$G$4),IF(LEN(tblRiskData[[#This Row],[Risk]])&gt;Setup!$G$4,"…",""))</f>
        <v xml:space="preserve">9 </v>
      </c>
    </row>
    <row r="11" spans="1:12" x14ac:dyDescent="0.2">
      <c r="A11" s="24">
        <f t="shared" si="0"/>
        <v>10</v>
      </c>
      <c r="B11" s="47"/>
      <c r="C11" s="47"/>
      <c r="D11" s="47"/>
      <c r="E11" s="47"/>
      <c r="G11" s="47"/>
      <c r="H11" s="48"/>
      <c r="I11" s="46"/>
      <c r="J11" s="41" t="str">
        <f>IFERROR(CHOOSE(MATCH(tblRiskData[[#This Row],[Probability]],lstProbability,0),4,3,2,1),"")</f>
        <v/>
      </c>
      <c r="K11" s="41" t="str">
        <f>IF(tblRiskData[[#This Row],[Status]]="Open",CONCATENATE("x",tblRiskData[[#This Row],[ProbabilityScore]]^4+tblRiskData[[#This Row],[Impact]]),"")</f>
        <v/>
      </c>
      <c r="L11" s="40" t="str">
        <f>CONCATENATE(tblRiskData[[#This Row],[ID]]," ",LEFT(tblRiskData[[#This Row],[Risk]],Setup!$G$4),IF(LEN(tblRiskData[[#This Row],[Risk]])&gt;Setup!$G$4,"…",""))</f>
        <v xml:space="preserve">10 </v>
      </c>
    </row>
    <row r="12" spans="1:12" x14ac:dyDescent="0.2">
      <c r="A12" s="24">
        <f t="shared" si="0"/>
        <v>11</v>
      </c>
      <c r="B12" s="47"/>
      <c r="C12" s="47"/>
      <c r="D12" s="47"/>
      <c r="E12" s="47"/>
      <c r="G12" s="47"/>
      <c r="H12" s="48"/>
      <c r="I12" s="46"/>
      <c r="J12" s="41" t="str">
        <f>IFERROR(CHOOSE(MATCH(tblRiskData[[#This Row],[Probability]],lstProbability,0),4,3,2,1),"")</f>
        <v/>
      </c>
      <c r="K12" s="41" t="str">
        <f>IF(tblRiskData[[#This Row],[Status]]="Open",CONCATENATE("x",tblRiskData[[#This Row],[ProbabilityScore]]^4+tblRiskData[[#This Row],[Impact]]),"")</f>
        <v/>
      </c>
      <c r="L12" s="40" t="str">
        <f>CONCATENATE(tblRiskData[[#This Row],[ID]]," ",LEFT(tblRiskData[[#This Row],[Risk]],Setup!$G$4),IF(LEN(tblRiskData[[#This Row],[Risk]])&gt;Setup!$G$4,"…",""))</f>
        <v xml:space="preserve">11 </v>
      </c>
    </row>
    <row r="13" spans="1:12" x14ac:dyDescent="0.2">
      <c r="A13" s="24">
        <f t="shared" si="0"/>
        <v>12</v>
      </c>
      <c r="B13" s="47"/>
      <c r="C13" s="47"/>
      <c r="D13" s="47"/>
      <c r="E13" s="47"/>
      <c r="G13" s="47"/>
      <c r="H13" s="48"/>
      <c r="I13" s="46"/>
      <c r="J13" s="41" t="str">
        <f>IFERROR(CHOOSE(MATCH(tblRiskData[[#This Row],[Probability]],lstProbability,0),4,3,2,1),"")</f>
        <v/>
      </c>
      <c r="K13" s="41" t="str">
        <f>IF(tblRiskData[[#This Row],[Status]]="Open",CONCATENATE("x",tblRiskData[[#This Row],[ProbabilityScore]]^4+tblRiskData[[#This Row],[Impact]]),"")</f>
        <v/>
      </c>
      <c r="L13" s="40" t="str">
        <f>CONCATENATE(tblRiskData[[#This Row],[ID]]," ",LEFT(tblRiskData[[#This Row],[Risk]],Setup!$G$4),IF(LEN(tblRiskData[[#This Row],[Risk]])&gt;Setup!$G$4,"…",""))</f>
        <v xml:space="preserve">12 </v>
      </c>
    </row>
    <row r="14" spans="1:12" x14ac:dyDescent="0.2">
      <c r="A14" s="24">
        <f t="shared" si="0"/>
        <v>13</v>
      </c>
      <c r="B14" s="47"/>
      <c r="C14" s="47"/>
      <c r="D14" s="47"/>
      <c r="E14" s="47"/>
      <c r="G14" s="47"/>
      <c r="H14" s="48"/>
      <c r="I14" s="46"/>
      <c r="J14" s="41" t="str">
        <f>IFERROR(CHOOSE(MATCH(tblRiskData[[#This Row],[Probability]],lstProbability,0),4,3,2,1),"")</f>
        <v/>
      </c>
      <c r="K14" s="41" t="str">
        <f>IF(tblRiskData[[#This Row],[Status]]="Open",CONCATENATE("x",tblRiskData[[#This Row],[ProbabilityScore]]^4+tblRiskData[[#This Row],[Impact]]),"")</f>
        <v/>
      </c>
      <c r="L14" s="40" t="str">
        <f>CONCATENATE(tblRiskData[[#This Row],[ID]]," ",LEFT(tblRiskData[[#This Row],[Risk]],Setup!$G$4),IF(LEN(tblRiskData[[#This Row],[Risk]])&gt;Setup!$G$4,"…",""))</f>
        <v xml:space="preserve">13 </v>
      </c>
    </row>
    <row r="15" spans="1:12" x14ac:dyDescent="0.2">
      <c r="A15" s="24">
        <f t="shared" si="0"/>
        <v>14</v>
      </c>
      <c r="B15" s="47"/>
      <c r="C15" s="47"/>
      <c r="D15" s="47"/>
      <c r="E15" s="47"/>
      <c r="G15" s="47"/>
      <c r="H15" s="48"/>
      <c r="I15" s="46"/>
      <c r="J15" s="41" t="str">
        <f>IFERROR(CHOOSE(MATCH(tblRiskData[[#This Row],[Probability]],lstProbability,0),4,3,2,1),"")</f>
        <v/>
      </c>
      <c r="K15" s="41" t="str">
        <f>IF(tblRiskData[[#This Row],[Status]]="Open",CONCATENATE("x",tblRiskData[[#This Row],[ProbabilityScore]]^4+tblRiskData[[#This Row],[Impact]]),"")</f>
        <v/>
      </c>
      <c r="L15" s="40" t="str">
        <f>CONCATENATE(tblRiskData[[#This Row],[ID]]," ",LEFT(tblRiskData[[#This Row],[Risk]],Setup!$G$4),IF(LEN(tblRiskData[[#This Row],[Risk]])&gt;Setup!$G$4,"…",""))</f>
        <v xml:space="preserve">14 </v>
      </c>
    </row>
    <row r="16" spans="1:12" x14ac:dyDescent="0.2">
      <c r="A16" s="24">
        <f t="shared" si="0"/>
        <v>15</v>
      </c>
      <c r="B16" s="47"/>
      <c r="C16" s="47"/>
      <c r="D16" s="47"/>
      <c r="E16" s="47"/>
      <c r="G16" s="47"/>
      <c r="H16" s="48"/>
      <c r="I16" s="46"/>
      <c r="J16" s="41" t="str">
        <f>IFERROR(CHOOSE(MATCH(tblRiskData[[#This Row],[Probability]],lstProbability,0),4,3,2,1),"")</f>
        <v/>
      </c>
      <c r="K16" s="41" t="str">
        <f>IF(tblRiskData[[#This Row],[Status]]="Open",CONCATENATE("x",tblRiskData[[#This Row],[ProbabilityScore]]^4+tblRiskData[[#This Row],[Impact]]),"")</f>
        <v/>
      </c>
      <c r="L16" s="40" t="str">
        <f>CONCATENATE(tblRiskData[[#This Row],[ID]]," ",LEFT(tblRiskData[[#This Row],[Risk]],Setup!$G$4),IF(LEN(tblRiskData[[#This Row],[Risk]])&gt;Setup!$G$4,"…",""))</f>
        <v xml:space="preserve">15 </v>
      </c>
    </row>
    <row r="17" spans="1:12" x14ac:dyDescent="0.2">
      <c r="A17" s="24">
        <f t="shared" si="0"/>
        <v>16</v>
      </c>
      <c r="B17" s="47"/>
      <c r="C17" s="47"/>
      <c r="D17" s="47"/>
      <c r="E17" s="47"/>
      <c r="G17" s="47"/>
      <c r="H17" s="48"/>
      <c r="I17" s="46"/>
      <c r="J17" s="41" t="str">
        <f>IFERROR(CHOOSE(MATCH(tblRiskData[[#This Row],[Probability]],lstProbability,0),4,3,2,1),"")</f>
        <v/>
      </c>
      <c r="K17" s="41" t="str">
        <f>IF(tblRiskData[[#This Row],[Status]]="Open",CONCATENATE("x",tblRiskData[[#This Row],[ProbabilityScore]]^4+tblRiskData[[#This Row],[Impact]]),"")</f>
        <v/>
      </c>
      <c r="L17" s="40" t="str">
        <f>CONCATENATE(tblRiskData[[#This Row],[ID]]," ",LEFT(tblRiskData[[#This Row],[Risk]],Setup!$G$4),IF(LEN(tblRiskData[[#This Row],[Risk]])&gt;Setup!$G$4,"…",""))</f>
        <v xml:space="preserve">16 </v>
      </c>
    </row>
    <row r="18" spans="1:12" x14ac:dyDescent="0.2">
      <c r="A18" s="24">
        <f t="shared" si="0"/>
        <v>17</v>
      </c>
      <c r="B18" s="47"/>
      <c r="C18" s="47"/>
      <c r="D18" s="47"/>
      <c r="E18" s="47"/>
      <c r="G18" s="47"/>
      <c r="H18" s="48"/>
      <c r="I18" s="46"/>
      <c r="J18" s="41" t="str">
        <f>IFERROR(CHOOSE(MATCH(tblRiskData[[#This Row],[Probability]],lstProbability,0),4,3,2,1),"")</f>
        <v/>
      </c>
      <c r="K18" s="41" t="str">
        <f>IF(tblRiskData[[#This Row],[Status]]="Open",CONCATENATE("x",tblRiskData[[#This Row],[ProbabilityScore]]^4+tblRiskData[[#This Row],[Impact]]),"")</f>
        <v/>
      </c>
      <c r="L18" s="40" t="str">
        <f>CONCATENATE(tblRiskData[[#This Row],[ID]]," ",LEFT(tblRiskData[[#This Row],[Risk]],Setup!$G$4),IF(LEN(tblRiskData[[#This Row],[Risk]])&gt;Setup!$G$4,"…",""))</f>
        <v xml:space="preserve">17 </v>
      </c>
    </row>
    <row r="19" spans="1:12" x14ac:dyDescent="0.2">
      <c r="A19" s="24">
        <f>A18+1</f>
        <v>18</v>
      </c>
      <c r="B19" s="47"/>
      <c r="C19" s="47"/>
      <c r="D19" s="47"/>
      <c r="E19" s="47"/>
      <c r="G19" s="47"/>
      <c r="H19" s="48"/>
      <c r="I19" s="46"/>
      <c r="J19" s="41" t="str">
        <f>IFERROR(CHOOSE(MATCH(tblRiskData[[#This Row],[Probability]],lstProbability,0),4,3,2,1),"")</f>
        <v/>
      </c>
      <c r="K19" s="41" t="str">
        <f>IF(tblRiskData[[#This Row],[Status]]="Open",CONCATENATE("x",tblRiskData[[#This Row],[ProbabilityScore]]^4+tblRiskData[[#This Row],[Impact]]),"")</f>
        <v/>
      </c>
      <c r="L19" s="40" t="str">
        <f>CONCATENATE(tblRiskData[[#This Row],[ID]]," ",LEFT(tblRiskData[[#This Row],[Risk]],Setup!$G$4),IF(LEN(tblRiskData[[#This Row],[Risk]])&gt;Setup!$G$4,"…",""))</f>
        <v xml:space="preserve">18 </v>
      </c>
    </row>
    <row r="20" spans="1:12" x14ac:dyDescent="0.2">
      <c r="A20" s="24">
        <f t="shared" si="0"/>
        <v>19</v>
      </c>
      <c r="B20" s="47"/>
      <c r="C20" s="47"/>
      <c r="D20" s="47"/>
      <c r="E20" s="47"/>
      <c r="G20" s="47"/>
      <c r="H20" s="48"/>
      <c r="I20" s="46"/>
      <c r="J20" s="41" t="str">
        <f>IFERROR(CHOOSE(MATCH(tblRiskData[[#This Row],[Probability]],lstProbability,0),4,3,2,1),"")</f>
        <v/>
      </c>
      <c r="K20" s="41" t="str">
        <f>IF(tblRiskData[[#This Row],[Status]]="Open",CONCATENATE("x",tblRiskData[[#This Row],[ProbabilityScore]]^4+tblRiskData[[#This Row],[Impact]]),"")</f>
        <v/>
      </c>
      <c r="L20" s="40" t="str">
        <f>CONCATENATE(tblRiskData[[#This Row],[ID]]," ",LEFT(tblRiskData[[#This Row],[Risk]],Setup!$G$4),IF(LEN(tblRiskData[[#This Row],[Risk]])&gt;Setup!$G$4,"…",""))</f>
        <v xml:space="preserve">19 </v>
      </c>
    </row>
    <row r="21" spans="1:12" x14ac:dyDescent="0.2">
      <c r="A21" s="24">
        <f t="shared" si="0"/>
        <v>20</v>
      </c>
      <c r="B21" s="47"/>
      <c r="C21" s="47"/>
      <c r="D21" s="47"/>
      <c r="E21" s="47"/>
      <c r="G21" s="47"/>
      <c r="H21" s="48"/>
      <c r="I21" s="46"/>
      <c r="J21" s="41" t="str">
        <f>IFERROR(CHOOSE(MATCH(tblRiskData[[#This Row],[Probability]],lstProbability,0),4,3,2,1),"")</f>
        <v/>
      </c>
      <c r="K21" s="41" t="str">
        <f>IF(tblRiskData[[#This Row],[Status]]="Open",CONCATENATE("x",tblRiskData[[#This Row],[ProbabilityScore]]^4+tblRiskData[[#This Row],[Impact]]),"")</f>
        <v/>
      </c>
      <c r="L21" s="40" t="str">
        <f>CONCATENATE(tblRiskData[[#This Row],[ID]]," ",LEFT(tblRiskData[[#This Row],[Risk]],Setup!$G$4),IF(LEN(tblRiskData[[#This Row],[Risk]])&gt;Setup!$G$4,"…",""))</f>
        <v xml:space="preserve">20 </v>
      </c>
    </row>
    <row r="22" spans="1:12" x14ac:dyDescent="0.2">
      <c r="A22" s="24">
        <f t="shared" si="0"/>
        <v>21</v>
      </c>
      <c r="B22" s="47"/>
      <c r="C22" s="47"/>
      <c r="D22" s="47"/>
      <c r="E22" s="47"/>
      <c r="G22" s="47"/>
      <c r="H22" s="48"/>
      <c r="I22" s="46"/>
      <c r="J22" s="41" t="str">
        <f>IFERROR(CHOOSE(MATCH(tblRiskData[[#This Row],[Probability]],lstProbability,0),4,3,2,1),"")</f>
        <v/>
      </c>
      <c r="K22" s="41" t="str">
        <f>IF(tblRiskData[[#This Row],[Status]]="Open",CONCATENATE("x",tblRiskData[[#This Row],[ProbabilityScore]]^4+tblRiskData[[#This Row],[Impact]]),"")</f>
        <v/>
      </c>
      <c r="L22" s="40" t="str">
        <f>CONCATENATE(tblRiskData[[#This Row],[ID]]," ",LEFT(tblRiskData[[#This Row],[Risk]],Setup!$G$4),IF(LEN(tblRiskData[[#This Row],[Risk]])&gt;Setup!$G$4,"…",""))</f>
        <v xml:space="preserve">21 </v>
      </c>
    </row>
    <row r="23" spans="1:12" x14ac:dyDescent="0.2">
      <c r="A23" s="24">
        <f t="shared" si="0"/>
        <v>22</v>
      </c>
      <c r="B23" s="47"/>
      <c r="C23" s="47"/>
      <c r="D23" s="47"/>
      <c r="E23" s="47"/>
      <c r="G23" s="47"/>
      <c r="H23" s="47"/>
      <c r="I23" s="47"/>
      <c r="J23" s="41" t="str">
        <f>IFERROR(CHOOSE(MATCH(tblRiskData[[#This Row],[Probability]],lstProbability,0),4,3,2,1),"")</f>
        <v/>
      </c>
      <c r="K23" s="41" t="str">
        <f>IF(tblRiskData[[#This Row],[Status]]="Open",CONCATENATE("x",tblRiskData[[#This Row],[ProbabilityScore]]^4+tblRiskData[[#This Row],[Impact]]),"")</f>
        <v/>
      </c>
      <c r="L23" s="40" t="str">
        <f>CONCATENATE(tblRiskData[[#This Row],[ID]]," ",LEFT(tblRiskData[[#This Row],[Risk]],Setup!$G$4),IF(LEN(tblRiskData[[#This Row],[Risk]])&gt;Setup!$G$4,"…",""))</f>
        <v xml:space="preserve">22 </v>
      </c>
    </row>
    <row r="24" spans="1:12" x14ac:dyDescent="0.2">
      <c r="A24" s="24">
        <f t="shared" si="0"/>
        <v>23</v>
      </c>
      <c r="B24" s="47"/>
      <c r="C24" s="47"/>
      <c r="D24" s="47"/>
      <c r="E24" s="47"/>
      <c r="G24" s="47"/>
      <c r="H24" s="47"/>
      <c r="I24" s="47"/>
      <c r="J24" s="41" t="str">
        <f>IFERROR(CHOOSE(MATCH(tblRiskData[[#This Row],[Probability]],lstProbability,0),4,3,2,1),"")</f>
        <v/>
      </c>
      <c r="K24" s="41" t="str">
        <f>IF(tblRiskData[[#This Row],[Status]]="Open",CONCATENATE("x",tblRiskData[[#This Row],[ProbabilityScore]]^4+tblRiskData[[#This Row],[Impact]]),"")</f>
        <v/>
      </c>
      <c r="L24" s="40" t="str">
        <f>CONCATENATE(tblRiskData[[#This Row],[ID]]," ",LEFT(tblRiskData[[#This Row],[Risk]],Setup!$G$4),IF(LEN(tblRiskData[[#This Row],[Risk]])&gt;Setup!$G$4,"…",""))</f>
        <v xml:space="preserve">23 </v>
      </c>
    </row>
    <row r="25" spans="1:12" x14ac:dyDescent="0.2">
      <c r="A25" s="24">
        <f t="shared" si="0"/>
        <v>24</v>
      </c>
      <c r="B25" s="47"/>
      <c r="C25" s="47"/>
      <c r="D25" s="47"/>
      <c r="E25" s="47"/>
      <c r="G25" s="47"/>
      <c r="H25" s="47"/>
      <c r="I25" s="47"/>
      <c r="J25" s="41" t="str">
        <f>IFERROR(CHOOSE(MATCH(tblRiskData[[#This Row],[Probability]],lstProbability,0),4,3,2,1),"")</f>
        <v/>
      </c>
      <c r="K25" s="41" t="str">
        <f>IF(tblRiskData[[#This Row],[Status]]="Open",CONCATENATE("x",tblRiskData[[#This Row],[ProbabilityScore]]^4+tblRiskData[[#This Row],[Impact]]),"")</f>
        <v/>
      </c>
      <c r="L25" s="40" t="str">
        <f>CONCATENATE(tblRiskData[[#This Row],[ID]]," ",LEFT(tblRiskData[[#This Row],[Risk]],Setup!$G$4),IF(LEN(tblRiskData[[#This Row],[Risk]])&gt;Setup!$G$4,"…",""))</f>
        <v xml:space="preserve">24 </v>
      </c>
    </row>
    <row r="26" spans="1:12" x14ac:dyDescent="0.2">
      <c r="A26" s="24">
        <f t="shared" si="0"/>
        <v>25</v>
      </c>
      <c r="B26" s="47"/>
      <c r="C26" s="47"/>
      <c r="D26" s="47"/>
      <c r="E26" s="47"/>
      <c r="G26" s="47"/>
      <c r="H26" s="47"/>
      <c r="I26" s="47"/>
      <c r="J26" s="41" t="str">
        <f>IFERROR(CHOOSE(MATCH(tblRiskData[[#This Row],[Probability]],lstProbability,0),4,3,2,1),"")</f>
        <v/>
      </c>
      <c r="K26" s="41" t="str">
        <f>IF(tblRiskData[[#This Row],[Status]]="Open",CONCATENATE("x",tblRiskData[[#This Row],[ProbabilityScore]]^4+tblRiskData[[#This Row],[Impact]]),"")</f>
        <v/>
      </c>
      <c r="L26" s="40" t="str">
        <f>CONCATENATE(tblRiskData[[#This Row],[ID]]," ",LEFT(tblRiskData[[#This Row],[Risk]],Setup!$G$4),IF(LEN(tblRiskData[[#This Row],[Risk]])&gt;Setup!$G$4,"…",""))</f>
        <v xml:space="preserve">25 </v>
      </c>
    </row>
    <row r="27" spans="1:12" x14ac:dyDescent="0.2">
      <c r="A27" s="24">
        <f t="shared" si="0"/>
        <v>26</v>
      </c>
      <c r="B27" s="47"/>
      <c r="C27" s="47"/>
      <c r="D27" s="47"/>
      <c r="E27" s="47"/>
      <c r="G27" s="47"/>
      <c r="H27" s="47"/>
      <c r="I27" s="47"/>
      <c r="J27" s="41" t="str">
        <f>IFERROR(CHOOSE(MATCH(tblRiskData[[#This Row],[Probability]],lstProbability,0),4,3,2,1),"")</f>
        <v/>
      </c>
      <c r="K27" s="41" t="str">
        <f>IF(tblRiskData[[#This Row],[Status]]="Open",CONCATENATE("x",tblRiskData[[#This Row],[ProbabilityScore]]^4+tblRiskData[[#This Row],[Impact]]),"")</f>
        <v/>
      </c>
      <c r="L27" s="40" t="str">
        <f>CONCATENATE(tblRiskData[[#This Row],[ID]]," ",LEFT(tblRiskData[[#This Row],[Risk]],Setup!$G$4),IF(LEN(tblRiskData[[#This Row],[Risk]])&gt;Setup!$G$4,"…",""))</f>
        <v xml:space="preserve">26 </v>
      </c>
    </row>
    <row r="28" spans="1:12" x14ac:dyDescent="0.2">
      <c r="A28" s="24">
        <f t="shared" si="0"/>
        <v>27</v>
      </c>
      <c r="B28" s="47"/>
      <c r="C28" s="47"/>
      <c r="D28" s="47"/>
      <c r="E28" s="47"/>
      <c r="G28" s="47"/>
      <c r="H28" s="47"/>
      <c r="I28" s="47"/>
      <c r="J28" s="41" t="str">
        <f>IFERROR(CHOOSE(MATCH(tblRiskData[[#This Row],[Probability]],lstProbability,0),4,3,2,1),"")</f>
        <v/>
      </c>
      <c r="K28" s="41" t="str">
        <f>IF(tblRiskData[[#This Row],[Status]]="Open",CONCATENATE("x",tblRiskData[[#This Row],[ProbabilityScore]]^4+tblRiskData[[#This Row],[Impact]]),"")</f>
        <v/>
      </c>
      <c r="L28" s="40" t="str">
        <f>CONCATENATE(tblRiskData[[#This Row],[ID]]," ",LEFT(tblRiskData[[#This Row],[Risk]],Setup!$G$4),IF(LEN(tblRiskData[[#This Row],[Risk]])&gt;Setup!$G$4,"…",""))</f>
        <v xml:space="preserve">27 </v>
      </c>
    </row>
    <row r="29" spans="1:12" x14ac:dyDescent="0.2">
      <c r="A29" s="24">
        <f t="shared" si="0"/>
        <v>28</v>
      </c>
      <c r="B29" s="47"/>
      <c r="C29" s="47"/>
      <c r="D29" s="47"/>
      <c r="E29" s="47"/>
      <c r="G29" s="47"/>
      <c r="H29" s="47"/>
      <c r="I29" s="47"/>
      <c r="J29" s="41" t="str">
        <f>IFERROR(CHOOSE(MATCH(tblRiskData[[#This Row],[Probability]],lstProbability,0),4,3,2,1),"")</f>
        <v/>
      </c>
      <c r="K29" s="41" t="str">
        <f>IF(tblRiskData[[#This Row],[Status]]="Open",CONCATENATE("x",tblRiskData[[#This Row],[ProbabilityScore]]^4+tblRiskData[[#This Row],[Impact]]),"")</f>
        <v/>
      </c>
      <c r="L29" s="40" t="str">
        <f>CONCATENATE(tblRiskData[[#This Row],[ID]]," ",LEFT(tblRiskData[[#This Row],[Risk]],Setup!$G$4),IF(LEN(tblRiskData[[#This Row],[Risk]])&gt;Setup!$G$4,"…",""))</f>
        <v xml:space="preserve">28 </v>
      </c>
    </row>
    <row r="30" spans="1:12" x14ac:dyDescent="0.2">
      <c r="A30" s="24">
        <f t="shared" si="0"/>
        <v>29</v>
      </c>
      <c r="B30" s="47"/>
      <c r="C30" s="47"/>
      <c r="D30" s="47"/>
      <c r="E30" s="47"/>
      <c r="G30" s="47"/>
      <c r="H30" s="47"/>
      <c r="I30" s="47"/>
      <c r="J30" s="41" t="str">
        <f>IFERROR(CHOOSE(MATCH(tblRiskData[[#This Row],[Probability]],lstProbability,0),4,3,2,1),"")</f>
        <v/>
      </c>
      <c r="K30" s="41" t="str">
        <f>IF(tblRiskData[[#This Row],[Status]]="Open",CONCATENATE("x",tblRiskData[[#This Row],[ProbabilityScore]]^4+tblRiskData[[#This Row],[Impact]]),"")</f>
        <v/>
      </c>
      <c r="L30" s="40" t="str">
        <f>CONCATENATE(tblRiskData[[#This Row],[ID]]," ",LEFT(tblRiskData[[#This Row],[Risk]],Setup!$G$4),IF(LEN(tblRiskData[[#This Row],[Risk]])&gt;Setup!$G$4,"…",""))</f>
        <v xml:space="preserve">29 </v>
      </c>
    </row>
    <row r="31" spans="1:12" x14ac:dyDescent="0.2">
      <c r="A31" s="24">
        <f t="shared" si="0"/>
        <v>30</v>
      </c>
      <c r="B31" s="47"/>
      <c r="C31" s="47"/>
      <c r="D31" s="47"/>
      <c r="E31" s="47"/>
      <c r="G31" s="47"/>
      <c r="H31" s="47"/>
      <c r="I31" s="47"/>
      <c r="J31" s="41" t="str">
        <f>IFERROR(CHOOSE(MATCH(tblRiskData[[#This Row],[Probability]],lstProbability,0),4,3,2,1),"")</f>
        <v/>
      </c>
      <c r="K31" s="41" t="str">
        <f>IF(tblRiskData[[#This Row],[Status]]="Open",CONCATENATE("x",tblRiskData[[#This Row],[ProbabilityScore]]^4+tblRiskData[[#This Row],[Impact]]),"")</f>
        <v/>
      </c>
      <c r="L31" s="40" t="str">
        <f>CONCATENATE(tblRiskData[[#This Row],[ID]]," ",LEFT(tblRiskData[[#This Row],[Risk]],Setup!$G$4),IF(LEN(tblRiskData[[#This Row],[Risk]])&gt;Setup!$G$4,"…",""))</f>
        <v xml:space="preserve">30 </v>
      </c>
    </row>
    <row r="32" spans="1:12" x14ac:dyDescent="0.2">
      <c r="A32" s="24">
        <f t="shared" si="0"/>
        <v>31</v>
      </c>
      <c r="B32" s="47"/>
      <c r="C32" s="47"/>
      <c r="D32" s="47"/>
      <c r="E32" s="47"/>
      <c r="G32" s="47"/>
      <c r="H32" s="47"/>
      <c r="I32" s="47"/>
      <c r="J32" s="41" t="str">
        <f>IFERROR(CHOOSE(MATCH(tblRiskData[[#This Row],[Probability]],lstProbability,0),4,3,2,1),"")</f>
        <v/>
      </c>
      <c r="K32" s="41" t="str">
        <f>IF(tblRiskData[[#This Row],[Status]]="Open",CONCATENATE("x",tblRiskData[[#This Row],[ProbabilityScore]]^4+tblRiskData[[#This Row],[Impact]]),"")</f>
        <v/>
      </c>
      <c r="L32" s="40" t="str">
        <f>CONCATENATE(tblRiskData[[#This Row],[ID]]," ",LEFT(tblRiskData[[#This Row],[Risk]],Setup!$G$4),IF(LEN(tblRiskData[[#This Row],[Risk]])&gt;Setup!$G$4,"…",""))</f>
        <v xml:space="preserve">31 </v>
      </c>
    </row>
    <row r="33" spans="1:12" x14ac:dyDescent="0.2">
      <c r="A33" s="24">
        <f t="shared" si="0"/>
        <v>32</v>
      </c>
      <c r="B33" s="47"/>
      <c r="C33" s="47"/>
      <c r="D33" s="47"/>
      <c r="E33" s="47"/>
      <c r="G33" s="47"/>
      <c r="H33" s="47"/>
      <c r="I33" s="47"/>
      <c r="J33" s="41" t="str">
        <f>IFERROR(CHOOSE(MATCH(tblRiskData[[#This Row],[Probability]],lstProbability,0),4,3,2,1),"")</f>
        <v/>
      </c>
      <c r="K33" s="41" t="str">
        <f>IF(tblRiskData[[#This Row],[Status]]="Open",CONCATENATE("x",tblRiskData[[#This Row],[ProbabilityScore]]^4+tblRiskData[[#This Row],[Impact]]),"")</f>
        <v/>
      </c>
      <c r="L33" s="40" t="str">
        <f>CONCATENATE(tblRiskData[[#This Row],[ID]]," ",LEFT(tblRiskData[[#This Row],[Risk]],Setup!$G$4),IF(LEN(tblRiskData[[#This Row],[Risk]])&gt;Setup!$G$4,"…",""))</f>
        <v xml:space="preserve">32 </v>
      </c>
    </row>
    <row r="34" spans="1:12" x14ac:dyDescent="0.2">
      <c r="A34" s="24">
        <f t="shared" si="0"/>
        <v>33</v>
      </c>
      <c r="B34" s="47"/>
      <c r="C34" s="47"/>
      <c r="D34" s="47"/>
      <c r="E34" s="47"/>
      <c r="G34" s="47"/>
      <c r="H34" s="47"/>
      <c r="I34" s="47"/>
      <c r="J34" s="41" t="str">
        <f>IFERROR(CHOOSE(MATCH(tblRiskData[[#This Row],[Probability]],lstProbability,0),4,3,2,1),"")</f>
        <v/>
      </c>
      <c r="K34" s="41" t="str">
        <f>IF(tblRiskData[[#This Row],[Status]]="Open",CONCATENATE("x",tblRiskData[[#This Row],[ProbabilityScore]]^4+tblRiskData[[#This Row],[Impact]]),"")</f>
        <v/>
      </c>
      <c r="L34" s="40" t="str">
        <f>CONCATENATE(tblRiskData[[#This Row],[ID]]," ",LEFT(tblRiskData[[#This Row],[Risk]],Setup!$G$4),IF(LEN(tblRiskData[[#This Row],[Risk]])&gt;Setup!$G$4,"…",""))</f>
        <v xml:space="preserve">33 </v>
      </c>
    </row>
    <row r="35" spans="1:12" x14ac:dyDescent="0.2">
      <c r="A35" s="24">
        <f t="shared" si="0"/>
        <v>34</v>
      </c>
      <c r="B35" s="47"/>
      <c r="C35" s="47"/>
      <c r="D35" s="47"/>
      <c r="E35" s="47"/>
      <c r="G35" s="47"/>
      <c r="H35" s="47"/>
      <c r="I35" s="47"/>
      <c r="J35" s="41" t="str">
        <f>IFERROR(CHOOSE(MATCH(tblRiskData[[#This Row],[Probability]],lstProbability,0),4,3,2,1),"")</f>
        <v/>
      </c>
      <c r="K35" s="41" t="str">
        <f>IF(tblRiskData[[#This Row],[Status]]="Open",CONCATENATE("x",tblRiskData[[#This Row],[ProbabilityScore]]^4+tblRiskData[[#This Row],[Impact]]),"")</f>
        <v/>
      </c>
      <c r="L35" s="40" t="str">
        <f>CONCATENATE(tblRiskData[[#This Row],[ID]]," ",LEFT(tblRiskData[[#This Row],[Risk]],Setup!$G$4),IF(LEN(tblRiskData[[#This Row],[Risk]])&gt;Setup!$G$4,"…",""))</f>
        <v xml:space="preserve">34 </v>
      </c>
    </row>
    <row r="36" spans="1:12" x14ac:dyDescent="0.2">
      <c r="A36" s="24">
        <f t="shared" si="0"/>
        <v>35</v>
      </c>
      <c r="B36" s="47"/>
      <c r="C36" s="47"/>
      <c r="D36" s="47"/>
      <c r="E36" s="47"/>
      <c r="G36" s="47"/>
      <c r="H36" s="47"/>
      <c r="I36" s="47"/>
      <c r="J36" s="41" t="str">
        <f>IFERROR(CHOOSE(MATCH(tblRiskData[[#This Row],[Probability]],lstProbability,0),4,3,2,1),"")</f>
        <v/>
      </c>
      <c r="K36" s="41" t="str">
        <f>IF(tblRiskData[[#This Row],[Status]]="Open",CONCATENATE("x",tblRiskData[[#This Row],[ProbabilityScore]]^4+tblRiskData[[#This Row],[Impact]]),"")</f>
        <v/>
      </c>
      <c r="L36" s="40" t="str">
        <f>CONCATENATE(tblRiskData[[#This Row],[ID]]," ",LEFT(tblRiskData[[#This Row],[Risk]],Setup!$G$4),IF(LEN(tblRiskData[[#This Row],[Risk]])&gt;Setup!$G$4,"…",""))</f>
        <v xml:space="preserve">35 </v>
      </c>
    </row>
    <row r="37" spans="1:12" x14ac:dyDescent="0.2">
      <c r="A37" s="24">
        <f t="shared" si="0"/>
        <v>36</v>
      </c>
      <c r="B37" s="47"/>
      <c r="C37" s="47"/>
      <c r="D37" s="47"/>
      <c r="E37" s="47"/>
      <c r="G37" s="47"/>
      <c r="H37" s="47"/>
      <c r="I37" s="47"/>
      <c r="J37" s="41" t="str">
        <f>IFERROR(CHOOSE(MATCH(tblRiskData[[#This Row],[Probability]],lstProbability,0),4,3,2,1),"")</f>
        <v/>
      </c>
      <c r="K37" s="41" t="str">
        <f>IF(tblRiskData[[#This Row],[Status]]="Open",CONCATENATE("x",tblRiskData[[#This Row],[ProbabilityScore]]^4+tblRiskData[[#This Row],[Impact]]),"")</f>
        <v/>
      </c>
      <c r="L37" s="40" t="str">
        <f>CONCATENATE(tblRiskData[[#This Row],[ID]]," ",LEFT(tblRiskData[[#This Row],[Risk]],Setup!$G$4),IF(LEN(tblRiskData[[#This Row],[Risk]])&gt;Setup!$G$4,"…",""))</f>
        <v xml:space="preserve">36 </v>
      </c>
    </row>
    <row r="38" spans="1:12" x14ac:dyDescent="0.2">
      <c r="A38" s="24">
        <f t="shared" si="0"/>
        <v>37</v>
      </c>
      <c r="B38" s="47"/>
      <c r="C38" s="47"/>
      <c r="D38" s="47"/>
      <c r="E38" s="47"/>
      <c r="G38" s="47"/>
      <c r="H38" s="47"/>
      <c r="I38" s="47"/>
      <c r="J38" s="41" t="str">
        <f>IFERROR(CHOOSE(MATCH(tblRiskData[[#This Row],[Probability]],lstProbability,0),4,3,2,1),"")</f>
        <v/>
      </c>
      <c r="K38" s="41" t="str">
        <f>IF(tblRiskData[[#This Row],[Status]]="Open",CONCATENATE("x",tblRiskData[[#This Row],[ProbabilityScore]]^4+tblRiskData[[#This Row],[Impact]]),"")</f>
        <v/>
      </c>
      <c r="L38" s="40" t="str">
        <f>CONCATENATE(tblRiskData[[#This Row],[ID]]," ",LEFT(tblRiskData[[#This Row],[Risk]],Setup!$G$4),IF(LEN(tblRiskData[[#This Row],[Risk]])&gt;Setup!$G$4,"…",""))</f>
        <v xml:space="preserve">37 </v>
      </c>
    </row>
    <row r="39" spans="1:12" x14ac:dyDescent="0.2">
      <c r="A39" s="24">
        <f t="shared" si="0"/>
        <v>38</v>
      </c>
      <c r="B39" s="47"/>
      <c r="C39" s="47"/>
      <c r="D39" s="47"/>
      <c r="E39" s="47"/>
      <c r="G39" s="47"/>
      <c r="H39" s="47"/>
      <c r="I39" s="47"/>
      <c r="J39" s="41" t="str">
        <f>IFERROR(CHOOSE(MATCH(tblRiskData[[#This Row],[Probability]],lstProbability,0),4,3,2,1),"")</f>
        <v/>
      </c>
      <c r="K39" s="41" t="str">
        <f>IF(tblRiskData[[#This Row],[Status]]="Open",CONCATENATE("x",tblRiskData[[#This Row],[ProbabilityScore]]^4+tblRiskData[[#This Row],[Impact]]),"")</f>
        <v/>
      </c>
      <c r="L39" s="40" t="str">
        <f>CONCATENATE(tblRiskData[[#This Row],[ID]]," ",LEFT(tblRiskData[[#This Row],[Risk]],Setup!$G$4),IF(LEN(tblRiskData[[#This Row],[Risk]])&gt;Setup!$G$4,"…",""))</f>
        <v xml:space="preserve">38 </v>
      </c>
    </row>
    <row r="40" spans="1:12" x14ac:dyDescent="0.2">
      <c r="A40" s="24">
        <f t="shared" si="0"/>
        <v>39</v>
      </c>
      <c r="B40" s="47"/>
      <c r="C40" s="47"/>
      <c r="D40" s="47"/>
      <c r="E40" s="47"/>
      <c r="G40" s="47"/>
      <c r="H40" s="47"/>
      <c r="I40" s="47"/>
      <c r="J40" s="41" t="str">
        <f>IFERROR(CHOOSE(MATCH(tblRiskData[[#This Row],[Probability]],lstProbability,0),4,3,2,1),"")</f>
        <v/>
      </c>
      <c r="K40" s="41" t="str">
        <f>IF(tblRiskData[[#This Row],[Status]]="Open",CONCATENATE("x",tblRiskData[[#This Row],[ProbabilityScore]]^4+tblRiskData[[#This Row],[Impact]]),"")</f>
        <v/>
      </c>
      <c r="L40" s="40" t="str">
        <f>CONCATENATE(tblRiskData[[#This Row],[ID]]," ",LEFT(tblRiskData[[#This Row],[Risk]],Setup!$G$4),IF(LEN(tblRiskData[[#This Row],[Risk]])&gt;Setup!$G$4,"…",""))</f>
        <v xml:space="preserve">39 </v>
      </c>
    </row>
    <row r="41" spans="1:12" x14ac:dyDescent="0.2">
      <c r="A41" s="24">
        <f t="shared" si="0"/>
        <v>40</v>
      </c>
      <c r="B41" s="47"/>
      <c r="C41" s="47"/>
      <c r="D41" s="47"/>
      <c r="E41" s="47"/>
      <c r="G41" s="47"/>
      <c r="H41" s="47"/>
      <c r="I41" s="47"/>
      <c r="J41" s="41" t="str">
        <f>IFERROR(CHOOSE(MATCH(tblRiskData[[#This Row],[Probability]],lstProbability,0),4,3,2,1),"")</f>
        <v/>
      </c>
      <c r="K41" s="41" t="str">
        <f>IF(tblRiskData[[#This Row],[Status]]="Open",CONCATENATE("x",tblRiskData[[#This Row],[ProbabilityScore]]^4+tblRiskData[[#This Row],[Impact]]),"")</f>
        <v/>
      </c>
      <c r="L41" s="40" t="str">
        <f>CONCATENATE(tblRiskData[[#This Row],[ID]]," ",LEFT(tblRiskData[[#This Row],[Risk]],Setup!$G$4),IF(LEN(tblRiskData[[#This Row],[Risk]])&gt;Setup!$G$4,"…",""))</f>
        <v xml:space="preserve">40 </v>
      </c>
    </row>
    <row r="42" spans="1:12" x14ac:dyDescent="0.2">
      <c r="A42" s="24">
        <f t="shared" si="0"/>
        <v>41</v>
      </c>
      <c r="B42" s="47"/>
      <c r="C42" s="47"/>
      <c r="D42" s="47"/>
      <c r="E42" s="47"/>
      <c r="G42" s="47"/>
      <c r="H42" s="47"/>
      <c r="I42" s="47"/>
      <c r="J42" s="41" t="str">
        <f>IFERROR(CHOOSE(MATCH(tblRiskData[[#This Row],[Probability]],lstProbability,0),4,3,2,1),"")</f>
        <v/>
      </c>
      <c r="K42" s="41" t="str">
        <f>IF(tblRiskData[[#This Row],[Status]]="Open",CONCATENATE("x",tblRiskData[[#This Row],[ProbabilityScore]]^4+tblRiskData[[#This Row],[Impact]]),"")</f>
        <v/>
      </c>
      <c r="L42" s="40" t="str">
        <f>CONCATENATE(tblRiskData[[#This Row],[ID]]," ",LEFT(tblRiskData[[#This Row],[Risk]],Setup!$G$4),IF(LEN(tblRiskData[[#This Row],[Risk]])&gt;Setup!$G$4,"…",""))</f>
        <v xml:space="preserve">41 </v>
      </c>
    </row>
    <row r="43" spans="1:12" x14ac:dyDescent="0.2">
      <c r="A43" s="24">
        <f t="shared" si="0"/>
        <v>42</v>
      </c>
      <c r="B43" s="47"/>
      <c r="C43" s="47"/>
      <c r="D43" s="47"/>
      <c r="E43" s="47"/>
      <c r="G43" s="47"/>
      <c r="H43" s="47"/>
      <c r="I43" s="47"/>
      <c r="J43" s="41" t="str">
        <f>IFERROR(CHOOSE(MATCH(tblRiskData[[#This Row],[Probability]],lstProbability,0),4,3,2,1),"")</f>
        <v/>
      </c>
      <c r="K43" s="41" t="str">
        <f>IF(tblRiskData[[#This Row],[Status]]="Open",CONCATENATE("x",tblRiskData[[#This Row],[ProbabilityScore]]^4+tblRiskData[[#This Row],[Impact]]),"")</f>
        <v/>
      </c>
      <c r="L43" s="40" t="str">
        <f>CONCATENATE(tblRiskData[[#This Row],[ID]]," ",LEFT(tblRiskData[[#This Row],[Risk]],Setup!$G$4),IF(LEN(tblRiskData[[#This Row],[Risk]])&gt;Setup!$G$4,"…",""))</f>
        <v xml:space="preserve">42 </v>
      </c>
    </row>
    <row r="44" spans="1:12" x14ac:dyDescent="0.2">
      <c r="A44" s="24">
        <f t="shared" si="0"/>
        <v>43</v>
      </c>
      <c r="B44" s="47"/>
      <c r="C44" s="47"/>
      <c r="D44" s="47"/>
      <c r="E44" s="47"/>
      <c r="G44" s="47"/>
      <c r="H44" s="47"/>
      <c r="I44" s="47"/>
      <c r="J44" s="41" t="str">
        <f>IFERROR(CHOOSE(MATCH(tblRiskData[[#This Row],[Probability]],lstProbability,0),4,3,2,1),"")</f>
        <v/>
      </c>
      <c r="K44" s="41" t="str">
        <f>IF(tblRiskData[[#This Row],[Status]]="Open",CONCATENATE("x",tblRiskData[[#This Row],[ProbabilityScore]]^4+tblRiskData[[#This Row],[Impact]]),"")</f>
        <v/>
      </c>
      <c r="L44" s="40" t="str">
        <f>CONCATENATE(tblRiskData[[#This Row],[ID]]," ",LEFT(tblRiskData[[#This Row],[Risk]],Setup!$G$4),IF(LEN(tblRiskData[[#This Row],[Risk]])&gt;Setup!$G$4,"…",""))</f>
        <v xml:space="preserve">43 </v>
      </c>
    </row>
    <row r="45" spans="1:12" x14ac:dyDescent="0.2">
      <c r="A45" s="24">
        <f t="shared" si="0"/>
        <v>44</v>
      </c>
      <c r="B45" s="47"/>
      <c r="C45" s="47"/>
      <c r="D45" s="47"/>
      <c r="E45" s="47"/>
      <c r="F45" s="47"/>
      <c r="G45" s="47"/>
      <c r="H45" s="47"/>
      <c r="I45" s="47"/>
      <c r="J45" s="41" t="str">
        <f>IFERROR(CHOOSE(MATCH(tblRiskData[[#This Row],[Probability]],lstProbability,0),4,3,2,1),"")</f>
        <v/>
      </c>
      <c r="K45" s="41" t="str">
        <f>IF(tblRiskData[[#This Row],[Status]]="Open",CONCATENATE("x",tblRiskData[[#This Row],[ProbabilityScore]]^4+tblRiskData[[#This Row],[Impact]]),"")</f>
        <v/>
      </c>
      <c r="L45" s="40" t="str">
        <f>CONCATENATE(tblRiskData[[#This Row],[ID]]," ",LEFT(tblRiskData[[#This Row],[Risk]],Setup!$G$4),IF(LEN(tblRiskData[[#This Row],[Risk]])&gt;Setup!$G$4,"…",""))</f>
        <v xml:space="preserve">44 </v>
      </c>
    </row>
    <row r="46" spans="1:12" x14ac:dyDescent="0.2">
      <c r="A46" s="24">
        <f t="shared" si="0"/>
        <v>45</v>
      </c>
      <c r="B46" s="47"/>
      <c r="C46" s="47"/>
      <c r="D46" s="47"/>
      <c r="E46" s="47"/>
      <c r="F46" s="47"/>
      <c r="G46" s="47"/>
      <c r="H46" s="47"/>
      <c r="I46" s="47"/>
      <c r="J46" s="41" t="str">
        <f>IFERROR(CHOOSE(MATCH(tblRiskData[[#This Row],[Probability]],lstProbability,0),4,3,2,1),"")</f>
        <v/>
      </c>
      <c r="K46" s="41" t="str">
        <f>IF(tblRiskData[[#This Row],[Status]]="Open",CONCATENATE("x",tblRiskData[[#This Row],[ProbabilityScore]]^4+tblRiskData[[#This Row],[Impact]]),"")</f>
        <v/>
      </c>
      <c r="L46" s="40" t="str">
        <f>CONCATENATE(tblRiskData[[#This Row],[ID]]," ",LEFT(tblRiskData[[#This Row],[Risk]],Setup!$G$4),IF(LEN(tblRiskData[[#This Row],[Risk]])&gt;Setup!$G$4,"…",""))</f>
        <v xml:space="preserve">45 </v>
      </c>
    </row>
    <row r="47" spans="1:12" x14ac:dyDescent="0.2">
      <c r="A47" s="24">
        <f t="shared" si="0"/>
        <v>46</v>
      </c>
      <c r="B47" s="47"/>
      <c r="C47" s="47"/>
      <c r="D47" s="47"/>
      <c r="E47" s="47"/>
      <c r="F47" s="47"/>
      <c r="G47" s="47"/>
      <c r="H47" s="47"/>
      <c r="I47" s="47"/>
      <c r="J47" s="41" t="str">
        <f>IFERROR(CHOOSE(MATCH(tblRiskData[[#This Row],[Probability]],lstProbability,0),4,3,2,1),"")</f>
        <v/>
      </c>
      <c r="K47" s="41" t="str">
        <f>IF(tblRiskData[[#This Row],[Status]]="Open",CONCATENATE("x",tblRiskData[[#This Row],[ProbabilityScore]]^4+tblRiskData[[#This Row],[Impact]]),"")</f>
        <v/>
      </c>
      <c r="L47" s="40" t="str">
        <f>CONCATENATE(tblRiskData[[#This Row],[ID]]," ",LEFT(tblRiskData[[#This Row],[Risk]],Setup!$G$4),IF(LEN(tblRiskData[[#This Row],[Risk]])&gt;Setup!$G$4,"…",""))</f>
        <v xml:space="preserve">46 </v>
      </c>
    </row>
    <row r="48" spans="1:12" x14ac:dyDescent="0.2">
      <c r="A48" s="24">
        <f t="shared" si="0"/>
        <v>47</v>
      </c>
      <c r="B48" s="47"/>
      <c r="C48" s="47"/>
      <c r="D48" s="47"/>
      <c r="E48" s="47"/>
      <c r="F48" s="47"/>
      <c r="G48" s="47"/>
      <c r="H48" s="47"/>
      <c r="I48" s="47"/>
      <c r="J48" s="41" t="str">
        <f>IFERROR(CHOOSE(MATCH(tblRiskData[[#This Row],[Probability]],lstProbability,0),4,3,2,1),"")</f>
        <v/>
      </c>
      <c r="K48" s="41" t="str">
        <f>IF(tblRiskData[[#This Row],[Status]]="Open",CONCATENATE("x",tblRiskData[[#This Row],[ProbabilityScore]]^4+tblRiskData[[#This Row],[Impact]]),"")</f>
        <v/>
      </c>
      <c r="L48" s="40" t="str">
        <f>CONCATENATE(tblRiskData[[#This Row],[ID]]," ",LEFT(tblRiskData[[#This Row],[Risk]],Setup!$G$4),IF(LEN(tblRiskData[[#This Row],[Risk]])&gt;Setup!$G$4,"…",""))</f>
        <v xml:space="preserve">47 </v>
      </c>
    </row>
    <row r="49" spans="1:12" x14ac:dyDescent="0.2">
      <c r="A49" s="24">
        <f t="shared" si="0"/>
        <v>48</v>
      </c>
      <c r="B49" s="47"/>
      <c r="C49" s="47"/>
      <c r="D49" s="47"/>
      <c r="E49" s="47"/>
      <c r="F49" s="47"/>
      <c r="G49" s="47"/>
      <c r="H49" s="47"/>
      <c r="I49" s="47"/>
      <c r="J49" s="41" t="str">
        <f>IFERROR(CHOOSE(MATCH(tblRiskData[[#This Row],[Probability]],lstProbability,0),4,3,2,1),"")</f>
        <v/>
      </c>
      <c r="K49" s="41" t="str">
        <f>IF(tblRiskData[[#This Row],[Status]]="Open",CONCATENATE("x",tblRiskData[[#This Row],[ProbabilityScore]]^4+tblRiskData[[#This Row],[Impact]]),"")</f>
        <v/>
      </c>
      <c r="L49" s="40" t="str">
        <f>CONCATENATE(tblRiskData[[#This Row],[ID]]," ",LEFT(tblRiskData[[#This Row],[Risk]],Setup!$G$4),IF(LEN(tblRiskData[[#This Row],[Risk]])&gt;Setup!$G$4,"…",""))</f>
        <v xml:space="preserve">48 </v>
      </c>
    </row>
    <row r="50" spans="1:12" x14ac:dyDescent="0.2">
      <c r="A50" s="24">
        <f t="shared" si="0"/>
        <v>49</v>
      </c>
      <c r="B50" s="47"/>
      <c r="C50" s="47"/>
      <c r="D50" s="47"/>
      <c r="E50" s="47"/>
      <c r="F50" s="47"/>
      <c r="G50" s="47"/>
      <c r="H50" s="47"/>
      <c r="I50" s="47"/>
      <c r="J50" s="41" t="str">
        <f>IFERROR(CHOOSE(MATCH(tblRiskData[[#This Row],[Probability]],lstProbability,0),4,3,2,1),"")</f>
        <v/>
      </c>
      <c r="K50" s="41" t="str">
        <f>IF(tblRiskData[[#This Row],[Status]]="Open",CONCATENATE("x",tblRiskData[[#This Row],[ProbabilityScore]]^4+tblRiskData[[#This Row],[Impact]]),"")</f>
        <v/>
      </c>
      <c r="L50" s="40" t="str">
        <f>CONCATENATE(tblRiskData[[#This Row],[ID]]," ",LEFT(tblRiskData[[#This Row],[Risk]],Setup!$G$4),IF(LEN(tblRiskData[[#This Row],[Risk]])&gt;Setup!$G$4,"…",""))</f>
        <v xml:space="preserve">49 </v>
      </c>
    </row>
    <row r="51" spans="1:12" x14ac:dyDescent="0.2">
      <c r="A51" s="24">
        <f t="shared" si="0"/>
        <v>50</v>
      </c>
      <c r="B51" s="47"/>
      <c r="C51" s="47"/>
      <c r="D51" s="47"/>
      <c r="E51" s="47"/>
      <c r="F51" s="47"/>
      <c r="G51" s="47"/>
      <c r="H51" s="47"/>
      <c r="I51" s="47"/>
      <c r="J51" s="41" t="str">
        <f>IFERROR(CHOOSE(MATCH(tblRiskData[[#This Row],[Probability]],lstProbability,0),4,3,2,1),"")</f>
        <v/>
      </c>
      <c r="K51" s="41" t="str">
        <f>IF(tblRiskData[[#This Row],[Status]]="Open",CONCATENATE("x",tblRiskData[[#This Row],[ProbabilityScore]]^4+tblRiskData[[#This Row],[Impact]]),"")</f>
        <v/>
      </c>
      <c r="L51" s="40" t="str">
        <f>CONCATENATE(tblRiskData[[#This Row],[ID]]," ",LEFT(tblRiskData[[#This Row],[Risk]],Setup!$G$4),IF(LEN(tblRiskData[[#This Row],[Risk]])&gt;Setup!$G$4,"…",""))</f>
        <v xml:space="preserve">50 </v>
      </c>
    </row>
    <row r="52" spans="1:12" x14ac:dyDescent="0.2">
      <c r="A52" s="24">
        <f t="shared" si="0"/>
        <v>51</v>
      </c>
      <c r="B52" s="47"/>
      <c r="C52" s="47"/>
      <c r="D52" s="47"/>
      <c r="E52" s="47"/>
      <c r="F52" s="47"/>
      <c r="G52" s="47"/>
      <c r="H52" s="47"/>
      <c r="I52" s="47"/>
      <c r="J52" s="41" t="str">
        <f>IFERROR(CHOOSE(MATCH(tblRiskData[[#This Row],[Probability]],lstProbability,0),4,3,2,1),"")</f>
        <v/>
      </c>
      <c r="K52" s="41" t="str">
        <f>IF(tblRiskData[[#This Row],[Status]]="Open",CONCATENATE("x",tblRiskData[[#This Row],[ProbabilityScore]]^4+tblRiskData[[#This Row],[Impact]]),"")</f>
        <v/>
      </c>
      <c r="L52" s="40" t="str">
        <f>CONCATENATE(tblRiskData[[#This Row],[ID]]," ",LEFT(tblRiskData[[#This Row],[Risk]],Setup!$G$4),IF(LEN(tblRiskData[[#This Row],[Risk]])&gt;Setup!$G$4,"…",""))</f>
        <v xml:space="preserve">51 </v>
      </c>
    </row>
    <row r="53" spans="1:12" x14ac:dyDescent="0.2">
      <c r="A53" s="24">
        <f t="shared" si="0"/>
        <v>52</v>
      </c>
      <c r="B53" s="47"/>
      <c r="C53" s="47"/>
      <c r="D53" s="47"/>
      <c r="E53" s="47"/>
      <c r="F53" s="47"/>
      <c r="G53" s="47"/>
      <c r="H53" s="47"/>
      <c r="I53" s="47"/>
      <c r="J53" s="41" t="str">
        <f>IFERROR(CHOOSE(MATCH(tblRiskData[[#This Row],[Probability]],lstProbability,0),4,3,2,1),"")</f>
        <v/>
      </c>
      <c r="K53" s="41" t="str">
        <f>IF(tblRiskData[[#This Row],[Status]]="Open",CONCATENATE("x",tblRiskData[[#This Row],[ProbabilityScore]]^4+tblRiskData[[#This Row],[Impact]]),"")</f>
        <v/>
      </c>
      <c r="L53" s="40" t="str">
        <f>CONCATENATE(tblRiskData[[#This Row],[ID]]," ",LEFT(tblRiskData[[#This Row],[Risk]],Setup!$G$4),IF(LEN(tblRiskData[[#This Row],[Risk]])&gt;Setup!$G$4,"…",""))</f>
        <v xml:space="preserve">52 </v>
      </c>
    </row>
    <row r="54" spans="1:12" x14ac:dyDescent="0.2">
      <c r="A54" s="24">
        <f t="shared" si="0"/>
        <v>53</v>
      </c>
      <c r="B54" s="47"/>
      <c r="C54" s="47"/>
      <c r="D54" s="47"/>
      <c r="E54" s="47"/>
      <c r="F54" s="47"/>
      <c r="G54" s="47"/>
      <c r="H54" s="47"/>
      <c r="I54" s="47"/>
      <c r="J54" s="41" t="str">
        <f>IFERROR(CHOOSE(MATCH(tblRiskData[[#This Row],[Probability]],lstProbability,0),4,3,2,1),"")</f>
        <v/>
      </c>
      <c r="K54" s="41" t="str">
        <f>IF(tblRiskData[[#This Row],[Status]]="Open",CONCATENATE("x",tblRiskData[[#This Row],[ProbabilityScore]]^4+tblRiskData[[#This Row],[Impact]]),"")</f>
        <v/>
      </c>
      <c r="L54" s="40" t="str">
        <f>CONCATENATE(tblRiskData[[#This Row],[ID]]," ",LEFT(tblRiskData[[#This Row],[Risk]],Setup!$G$4),IF(LEN(tblRiskData[[#This Row],[Risk]])&gt;Setup!$G$4,"…",""))</f>
        <v xml:space="preserve">53 </v>
      </c>
    </row>
    <row r="55" spans="1:12" x14ac:dyDescent="0.2">
      <c r="A55" s="24">
        <f t="shared" si="0"/>
        <v>54</v>
      </c>
      <c r="B55" s="47"/>
      <c r="C55" s="47"/>
      <c r="D55" s="47"/>
      <c r="E55" s="47"/>
      <c r="F55" s="47"/>
      <c r="G55" s="47"/>
      <c r="H55" s="47"/>
      <c r="I55" s="47"/>
      <c r="J55" s="41" t="str">
        <f>IFERROR(CHOOSE(MATCH(tblRiskData[[#This Row],[Probability]],lstProbability,0),4,3,2,1),"")</f>
        <v/>
      </c>
      <c r="K55" s="41" t="str">
        <f>IF(tblRiskData[[#This Row],[Status]]="Open",CONCATENATE("x",tblRiskData[[#This Row],[ProbabilityScore]]^4+tblRiskData[[#This Row],[Impact]]),"")</f>
        <v/>
      </c>
      <c r="L55" s="40" t="str">
        <f>CONCATENATE(tblRiskData[[#This Row],[ID]]," ",LEFT(tblRiskData[[#This Row],[Risk]],Setup!$G$4),IF(LEN(tblRiskData[[#This Row],[Risk]])&gt;Setup!$G$4,"…",""))</f>
        <v xml:space="preserve">54 </v>
      </c>
    </row>
    <row r="56" spans="1:12" x14ac:dyDescent="0.2">
      <c r="A56" s="24">
        <f t="shared" si="0"/>
        <v>55</v>
      </c>
      <c r="B56" s="47"/>
      <c r="C56" s="47"/>
      <c r="D56" s="47"/>
      <c r="E56" s="47"/>
      <c r="F56" s="47"/>
      <c r="G56" s="47"/>
      <c r="H56" s="47"/>
      <c r="I56" s="47"/>
      <c r="J56" s="41" t="str">
        <f>IFERROR(CHOOSE(MATCH(tblRiskData[[#This Row],[Probability]],lstProbability,0),4,3,2,1),"")</f>
        <v/>
      </c>
      <c r="K56" s="41" t="str">
        <f>IF(tblRiskData[[#This Row],[Status]]="Open",CONCATENATE("x",tblRiskData[[#This Row],[ProbabilityScore]]^4+tblRiskData[[#This Row],[Impact]]),"")</f>
        <v/>
      </c>
      <c r="L56" s="40" t="str">
        <f>CONCATENATE(tblRiskData[[#This Row],[ID]]," ",LEFT(tblRiskData[[#This Row],[Risk]],Setup!$G$4),IF(LEN(tblRiskData[[#This Row],[Risk]])&gt;Setup!$G$4,"…",""))</f>
        <v xml:space="preserve">55 </v>
      </c>
    </row>
    <row r="57" spans="1:12" x14ac:dyDescent="0.2">
      <c r="A57" s="24">
        <f t="shared" si="0"/>
        <v>56</v>
      </c>
      <c r="B57" s="47"/>
      <c r="C57" s="47"/>
      <c r="D57" s="47"/>
      <c r="E57" s="47"/>
      <c r="F57" s="47"/>
      <c r="G57" s="47"/>
      <c r="H57" s="47"/>
      <c r="I57" s="47"/>
      <c r="J57" s="41" t="str">
        <f>IFERROR(CHOOSE(MATCH(tblRiskData[[#This Row],[Probability]],lstProbability,0),4,3,2,1),"")</f>
        <v/>
      </c>
      <c r="K57" s="41" t="str">
        <f>IF(tblRiskData[[#This Row],[Status]]="Open",CONCATENATE("x",tblRiskData[[#This Row],[ProbabilityScore]]^4+tblRiskData[[#This Row],[Impact]]),"")</f>
        <v/>
      </c>
      <c r="L57" s="40" t="str">
        <f>CONCATENATE(tblRiskData[[#This Row],[ID]]," ",LEFT(tblRiskData[[#This Row],[Risk]],Setup!$G$4),IF(LEN(tblRiskData[[#This Row],[Risk]])&gt;Setup!$G$4,"…",""))</f>
        <v xml:space="preserve">56 </v>
      </c>
    </row>
    <row r="58" spans="1:12" x14ac:dyDescent="0.2">
      <c r="A58" s="24">
        <f t="shared" si="0"/>
        <v>57</v>
      </c>
      <c r="B58" s="47"/>
      <c r="C58" s="47"/>
      <c r="D58" s="47"/>
      <c r="E58" s="47"/>
      <c r="F58" s="47"/>
      <c r="G58" s="47"/>
      <c r="H58" s="47"/>
      <c r="I58" s="47"/>
      <c r="J58" s="41" t="str">
        <f>IFERROR(CHOOSE(MATCH(tblRiskData[[#This Row],[Probability]],lstProbability,0),4,3,2,1),"")</f>
        <v/>
      </c>
      <c r="K58" s="41" t="str">
        <f>IF(tblRiskData[[#This Row],[Status]]="Open",CONCATENATE("x",tblRiskData[[#This Row],[ProbabilityScore]]^4+tblRiskData[[#This Row],[Impact]]),"")</f>
        <v/>
      </c>
      <c r="L58" s="40" t="str">
        <f>CONCATENATE(tblRiskData[[#This Row],[ID]]," ",LEFT(tblRiskData[[#This Row],[Risk]],Setup!$G$4),IF(LEN(tblRiskData[[#This Row],[Risk]])&gt;Setup!$G$4,"…",""))</f>
        <v xml:space="preserve">57 </v>
      </c>
    </row>
    <row r="59" spans="1:12" x14ac:dyDescent="0.2">
      <c r="A59" s="24">
        <f t="shared" si="0"/>
        <v>58</v>
      </c>
      <c r="B59" s="47"/>
      <c r="C59" s="47"/>
      <c r="D59" s="47"/>
      <c r="E59" s="47"/>
      <c r="F59" s="47"/>
      <c r="G59" s="47"/>
      <c r="H59" s="47"/>
      <c r="I59" s="47"/>
      <c r="J59" s="41" t="str">
        <f>IFERROR(CHOOSE(MATCH(tblRiskData[[#This Row],[Probability]],lstProbability,0),4,3,2,1),"")</f>
        <v/>
      </c>
      <c r="K59" s="41" t="str">
        <f>IF(tblRiskData[[#This Row],[Status]]="Open",CONCATENATE("x",tblRiskData[[#This Row],[ProbabilityScore]]^4+tblRiskData[[#This Row],[Impact]]),"")</f>
        <v/>
      </c>
      <c r="L59" s="40" t="str">
        <f>CONCATENATE(tblRiskData[[#This Row],[ID]]," ",LEFT(tblRiskData[[#This Row],[Risk]],Setup!$G$4),IF(LEN(tblRiskData[[#This Row],[Risk]])&gt;Setup!$G$4,"…",""))</f>
        <v xml:space="preserve">58 </v>
      </c>
    </row>
  </sheetData>
  <sheetProtection sheet="1" objects="1" scenarios="1" selectLockedCells="1"/>
  <conditionalFormatting sqref="F45:F115 F2:F9">
    <cfRule type="colorScale" priority="11">
      <colorScale>
        <cfvo type="num" val="1"/>
        <cfvo type="num" val="3"/>
        <cfvo type="num" val="4"/>
        <color rgb="FF63BE7B"/>
        <color rgb="FFFFEB84"/>
        <color rgb="FFF8696B"/>
      </colorScale>
    </cfRule>
  </conditionalFormatting>
  <conditionalFormatting sqref="E24:E115 E2:E10">
    <cfRule type="containsText" dxfId="7" priority="7" operator="containsText" text="D">
      <formula>NOT(ISERROR(SEARCH("D",E2)))</formula>
    </cfRule>
    <cfRule type="containsText" dxfId="6" priority="8" operator="containsText" text="C">
      <formula>NOT(ISERROR(SEARCH("C",E2)))</formula>
    </cfRule>
    <cfRule type="containsText" dxfId="5" priority="9" operator="containsText" text="B">
      <formula>NOT(ISERROR(SEARCH("B",E2)))</formula>
    </cfRule>
    <cfRule type="containsText" dxfId="4" priority="10" operator="containsText" text="A">
      <formula>NOT(ISERROR(SEARCH("A",E2)))</formula>
    </cfRule>
  </conditionalFormatting>
  <conditionalFormatting sqref="E11:E23">
    <cfRule type="containsText" dxfId="3" priority="3" operator="containsText" text="D">
      <formula>NOT(ISERROR(SEARCH("D",E11)))</formula>
    </cfRule>
    <cfRule type="containsText" dxfId="2" priority="4" operator="containsText" text="C">
      <formula>NOT(ISERROR(SEARCH("C",E11)))</formula>
    </cfRule>
    <cfRule type="containsText" dxfId="1" priority="5" operator="containsText" text="B">
      <formula>NOT(ISERROR(SEARCH("B",E11)))</formula>
    </cfRule>
    <cfRule type="containsText" dxfId="0" priority="6" operator="containsText" text="A">
      <formula>NOT(ISERROR(SEARCH("A",E11)))</formula>
    </cfRule>
  </conditionalFormatting>
  <conditionalFormatting sqref="F10:F15">
    <cfRule type="colorScale" priority="2">
      <colorScale>
        <cfvo type="num" val="1"/>
        <cfvo type="num" val="3"/>
        <cfvo type="num" val="4"/>
        <color rgb="FF63BE7B"/>
        <color rgb="FFFFEB84"/>
        <color rgb="FFF8696B"/>
      </colorScale>
    </cfRule>
  </conditionalFormatting>
  <conditionalFormatting sqref="F16:F44">
    <cfRule type="colorScale" priority="1">
      <colorScale>
        <cfvo type="num" val="1"/>
        <cfvo type="num" val="3"/>
        <cfvo type="num" val="4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F2:F59" xr:uid="{00000000-0002-0000-0000-000000000000}">
      <formula1>lstImpact</formula1>
    </dataValidation>
    <dataValidation type="list" allowBlank="1" showInputMessage="1" showErrorMessage="1" sqref="G2:G59 H23:I59" xr:uid="{00000000-0002-0000-0000-000001000000}">
      <formula1>"Open,Closed,On Going"</formula1>
    </dataValidation>
    <dataValidation type="list" allowBlank="1" showInputMessage="1" showErrorMessage="1" sqref="E2:E59" xr:uid="{00000000-0002-0000-0000-000002000000}">
      <formula1>lstProbability</formula1>
    </dataValidation>
    <dataValidation allowBlank="1" sqref="B2:B59" xr:uid="{00000000-0002-0000-0000-000003000000}"/>
  </dataValidations>
  <pageMargins left="0.7" right="0.7" top="0.75" bottom="0.75" header="0.3" footer="0.3"/>
  <pageSetup paperSize="9" orientation="portrait" horizontalDpi="4294967292" verticalDpi="429496729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4000000}">
          <x14:formula1>
            <xm:f>Setup!$A$4:$A$72</xm:f>
          </x14:formula1>
          <xm:sqref>C2:C59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1"/>
  <sheetViews>
    <sheetView workbookViewId="0">
      <selection activeCell="C14" sqref="C14"/>
    </sheetView>
  </sheetViews>
  <sheetFormatPr baseColWidth="10" defaultColWidth="8.83203125" defaultRowHeight="15" x14ac:dyDescent="0.2"/>
  <cols>
    <col min="1" max="1" width="21.1640625" customWidth="1"/>
    <col min="3" max="3" width="34.5" customWidth="1"/>
  </cols>
  <sheetData>
    <row r="1" spans="1:7" x14ac:dyDescent="0.2">
      <c r="A1" s="50" t="s">
        <v>41</v>
      </c>
      <c r="C1" t="s">
        <v>42</v>
      </c>
    </row>
    <row r="3" spans="1:7" x14ac:dyDescent="0.2">
      <c r="A3" t="s">
        <v>31</v>
      </c>
      <c r="C3" s="22" t="s">
        <v>3</v>
      </c>
      <c r="E3" s="22" t="s">
        <v>4</v>
      </c>
      <c r="G3" t="s">
        <v>28</v>
      </c>
    </row>
    <row r="4" spans="1:7" x14ac:dyDescent="0.2">
      <c r="A4" t="s">
        <v>32</v>
      </c>
      <c r="C4" t="s">
        <v>11</v>
      </c>
      <c r="E4">
        <v>1</v>
      </c>
      <c r="G4">
        <v>38</v>
      </c>
    </row>
    <row r="5" spans="1:7" x14ac:dyDescent="0.2">
      <c r="A5" t="s">
        <v>33</v>
      </c>
      <c r="C5" t="s">
        <v>14</v>
      </c>
      <c r="E5">
        <v>2</v>
      </c>
    </row>
    <row r="6" spans="1:7" x14ac:dyDescent="0.2">
      <c r="A6" t="s">
        <v>34</v>
      </c>
      <c r="C6" t="s">
        <v>12</v>
      </c>
      <c r="E6">
        <v>3</v>
      </c>
    </row>
    <row r="7" spans="1:7" x14ac:dyDescent="0.2">
      <c r="A7" t="s">
        <v>26</v>
      </c>
      <c r="C7" t="s">
        <v>13</v>
      </c>
      <c r="E7">
        <v>4</v>
      </c>
    </row>
    <row r="8" spans="1:7" x14ac:dyDescent="0.2">
      <c r="A8" s="23" t="s">
        <v>27</v>
      </c>
    </row>
    <row r="9" spans="1:7" x14ac:dyDescent="0.2">
      <c r="A9" s="23" t="s">
        <v>35</v>
      </c>
    </row>
    <row r="10" spans="1:7" x14ac:dyDescent="0.2">
      <c r="A10" t="s">
        <v>36</v>
      </c>
    </row>
    <row r="11" spans="1:7" x14ac:dyDescent="0.2">
      <c r="A11" t="s">
        <v>38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Risk Register Map</vt:lpstr>
      <vt:lpstr>Risk Register</vt:lpstr>
      <vt:lpstr>Setup</vt:lpstr>
      <vt:lpstr>lstImpact</vt:lpstr>
      <vt:lpstr>lstProbability</vt:lpstr>
      <vt:lpstr>lstProject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veekay;Vijay Sharma</dc:creator>
  <cp:lastModifiedBy>Sierk Hoeksma</cp:lastModifiedBy>
  <cp:lastPrinted>2013-05-27T07:05:39Z</cp:lastPrinted>
  <dcterms:created xsi:type="dcterms:W3CDTF">2013-04-15T13:22:45Z</dcterms:created>
  <dcterms:modified xsi:type="dcterms:W3CDTF">2018-04-07T12:29:58Z</dcterms:modified>
</cp:coreProperties>
</file>